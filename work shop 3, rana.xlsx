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444BF12-B904-4552-8A10-278EECA5D9A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dash board" sheetId="3" r:id="rId2"/>
    <sheet name="Sheet15" sheetId="15" r:id="rId3"/>
    <sheet name="Sheet18" sheetId="18" r:id="rId4"/>
    <sheet name="Sheet17" sheetId="17" r:id="rId5"/>
    <sheet name="summary" sheetId="13" r:id="rId6"/>
    <sheet name="Sheet1" sheetId="2" r:id="rId7"/>
    <sheet name="Sheet2" sheetId="4" r:id="rId8"/>
    <sheet name="Sheet3" sheetId="7" r:id="rId9"/>
    <sheet name="Sheet4" sheetId="8" r:id="rId10"/>
    <sheet name="sheet5" sheetId="12" r:id="rId11"/>
  </sheets>
  <externalReferences>
    <externalReference r:id="rId12"/>
  </externalReferences>
  <definedNames>
    <definedName name="_xlnm._FilterDatabase" localSheetId="0" hidden="1">Data!$A$1:$E$12</definedName>
  </definedNames>
  <calcPr calcId="191028"/>
  <pivotCaches>
    <pivotCache cacheId="49" r:id="rId13"/>
    <pivotCache cacheId="25" r:id="rId14"/>
    <pivotCache cacheId="50" r:id="rId15"/>
    <pivotCache cacheId="45" r:id="rId16"/>
    <pivotCache cacheId="6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 a="1"/>
  <c r="D21" i="1" s="1"/>
  <c r="D20" i="1" a="1"/>
  <c r="D20" i="1" s="1"/>
  <c r="I14" i="13"/>
  <c r="I9" i="13"/>
  <c r="R7" i="3" a="1"/>
  <c r="R7" i="3" s="1"/>
  <c r="D19" i="1"/>
  <c r="D18" i="1" a="1"/>
  <c r="D18" i="1" s="1"/>
  <c r="D17" i="1"/>
  <c r="D16" i="1"/>
  <c r="D15" i="1"/>
  <c r="J19" i="1" a="1"/>
  <c r="J19" i="1" s="1"/>
  <c r="D11" i="1"/>
  <c r="E11" i="1"/>
  <c r="C11" i="1"/>
  <c r="F3" i="1"/>
  <c r="F4" i="1"/>
  <c r="F5" i="1"/>
  <c r="F6" i="1"/>
  <c r="F7" i="1"/>
  <c r="F8" i="1"/>
  <c r="F9" i="1"/>
  <c r="F10" i="1"/>
  <c r="F2" i="1"/>
  <c r="F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<sst xmlns="http://schemas.openxmlformats.org/spreadsheetml/2006/main" count="154" uniqueCount="48">
  <si>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</si>
  <si>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</si>
  <si>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</si>
  <si>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</si>
  <si>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</si>
  <si>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</si>
  <si>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</si>
  <si>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</si>
  <si>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</si>
  <si>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</si>
  <si>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</si>
  <si>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</si>
  <si>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</si>
  <si>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</si>
  <si>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</si>
  <si>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</si>
  <si>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</si>
  <si>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</si>
  <si>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</si>
  <si>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</si>
  <si>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Number of products =</t>
  </si>
  <si>
    <t>Summary</t>
  </si>
  <si>
    <t>Total Sales =</t>
  </si>
  <si>
    <t>Least Sales in a month=</t>
  </si>
  <si>
    <t>best sales for a product in electronics =</t>
  </si>
  <si>
    <t>Total PER MONTH</t>
  </si>
  <si>
    <t xml:space="preserve"> IN THE FIRST THREE MONTHS</t>
  </si>
  <si>
    <t xml:space="preserve">FOR A PRODUCT IN A MONTH = </t>
  </si>
  <si>
    <t>Best SaleS for  a product =</t>
  </si>
  <si>
    <t>Row Labels</t>
  </si>
  <si>
    <t>Grand Total</t>
  </si>
  <si>
    <t>Sum of Jan Sales</t>
  </si>
  <si>
    <t>Sum of Feb Sales</t>
  </si>
  <si>
    <t>Sum of Mar Sales</t>
  </si>
  <si>
    <t>Column Labels</t>
  </si>
  <si>
    <t>Sum of Total</t>
  </si>
  <si>
    <t>Count of Product</t>
  </si>
  <si>
    <t>pie chart</t>
  </si>
  <si>
    <t>product sales</t>
  </si>
  <si>
    <t>summary</t>
  </si>
  <si>
    <t>best product</t>
  </si>
  <si>
    <t>best category</t>
  </si>
  <si>
    <t>category Monthly</t>
  </si>
  <si>
    <t>appliances</t>
  </si>
  <si>
    <t>clothing</t>
  </si>
  <si>
    <t>electronics</t>
  </si>
  <si>
    <t>Best sale in Appliances =</t>
  </si>
  <si>
    <t>Best sale in cloths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</si>
</sst>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11"/>
      <color theme="0"/>
      <name val="Aptos Narrow"/>
      <family val="2"/>
      <scheme val="minor"/>
    </font>
    <font>
      <sz val="11"/>
      <color theme="1"/>
      <name val="Algerian"/>
      <family val="5"/>
    </font>
    <font>
      <b/>
      <sz val="12"/>
      <color theme="1"/>
      <name val="Aptos Narrow"/>
      <family val="2"/>
      <scheme val="minor"/>
    </font>
    <font>
      <sz val="16"/>
      <color theme="1"/>
      <name val="Algerian"/>
      <family val="5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medium">
        <color theme="4" tint="-0.249977111117893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0" fillId="4" borderId="0" xfId="0" applyFill="1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171" fontId="0" fillId="0" borderId="0" xfId="0" applyNumberFormat="1" applyAlignment="1">
      <alignment horizontal="center" vertical="center"/>
    </xf>
    <xf numFmtId="171" fontId="1" fillId="2" borderId="0" xfId="0" applyNumberFormat="1" applyFont="1" applyFill="1" applyAlignment="1">
      <alignment horizontal="center" vertical="center"/>
    </xf>
    <xf numFmtId="171" fontId="1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1" fontId="0" fillId="0" borderId="0" xfId="0" applyNumberFormat="1"/>
    <xf numFmtId="0" fontId="6" fillId="6" borderId="0" xfId="0" applyFont="1" applyFill="1"/>
    <xf numFmtId="0" fontId="4" fillId="5" borderId="0" xfId="0" applyFont="1" applyFill="1"/>
    <xf numFmtId="0" fontId="0" fillId="5" borderId="0" xfId="0" applyFill="1"/>
    <xf numFmtId="171" fontId="0" fillId="5" borderId="0" xfId="0" applyNumberFormat="1" applyFill="1"/>
    <xf numFmtId="0" fontId="4" fillId="5" borderId="0" xfId="0" applyFont="1" applyFill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3" fillId="7" borderId="10" xfId="0" applyFont="1" applyFill="1" applyBorder="1"/>
    <xf numFmtId="171" fontId="1" fillId="0" borderId="0" xfId="0" applyNumberFormat="1" applyFont="1"/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69" formatCode="&quot;$&quot;#,##0.0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  <dxf>
      <numFmt numFmtId="171" formatCode="&quot;$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in JAN/FEB/MARCH</a:t>
            </a:r>
          </a:p>
        </c:rich>
      </c:tx>
      <c:layout>
        <c:manualLayout>
          <c:xMode val="edge"/>
          <c:yMode val="edge"/>
          <c:x val="0.23247217568361112"/>
          <c:y val="3.92341566568027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297149664410033"/>
          <c:y val="0.1906732283464567"/>
          <c:w val="0.82664129483814519"/>
          <c:h val="0.513241399637879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[1]Sheet1!$F$1</c:f>
              <c:strCache>
                <c:ptCount val="1"/>
                <c:pt idx="0">
                  <c:v> Total </c:v>
                </c:pt>
              </c:strCache>
            </c:strRef>
          </c:tx>
          <c:spPr>
            <a:solidFill>
              <a:schemeClr val="accent5">
                <a:shade val="76000"/>
                <a:alpha val="85000"/>
              </a:schemeClr>
            </a:solidFill>
            <a:ln w="9525" cap="flat" cmpd="sng" algn="ctr">
              <a:solidFill>
                <a:schemeClr val="accent5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2.0369191597708464E-2"/>
                  <c:y val="-2.45095207854930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4F-4079-87B6-8682CC982EBB}"/>
                </c:ext>
              </c:extLst>
            </c:dLbl>
            <c:dLbl>
              <c:idx val="1"/>
              <c:layout>
                <c:manualLayout>
                  <c:x val="2.2915340547422024E-2"/>
                  <c:y val="-2.450952078549303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4F-4079-87B6-8682CC982EBB}"/>
                </c:ext>
              </c:extLst>
            </c:dLbl>
            <c:dLbl>
              <c:idx val="3"/>
              <c:layout>
                <c:manualLayout>
                  <c:x val="-4.6678858173262353E-17"/>
                  <c:y val="-3.7433155080213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4F-4079-87B6-8682CC982EBB}"/>
                </c:ext>
              </c:extLst>
            </c:dLbl>
            <c:dLbl>
              <c:idx val="4"/>
              <c:layout>
                <c:manualLayout>
                  <c:x val="2.5462491917981928E-3"/>
                  <c:y val="-1.069518716577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97517504774011E-2"/>
                      <c:h val="6.40911196260895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F4F-4079-87B6-8682CC982EBB}"/>
                </c:ext>
              </c:extLst>
            </c:dLbl>
            <c:dLbl>
              <c:idx val="7"/>
              <c:layout>
                <c:manualLayout>
                  <c:x val="-9.3357716346524707E-17"/>
                  <c:y val="-8.0213903743315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4F-4079-87B6-8682CC982E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[1]Sheet1!$F$2:$F$10</c:f>
              <c:numCache>
                <c:formatCode>"$"#,##0.00</c:formatCode>
                <c:ptCount val="9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4F-4079-87B6-8682CC982EBB}"/>
            </c:ext>
          </c:extLst>
        </c:ser>
        <c:ser>
          <c:idx val="1"/>
          <c:order val="1"/>
          <c:tx>
            <c:strRef>
              <c:f>[1]Sheet1!$B$1:$B$10</c:f>
              <c:strCache>
                <c:ptCount val="10"/>
                <c:pt idx="0">
                  <c:v>Category</c:v>
                </c:pt>
                <c:pt idx="1">
                  <c:v>Electronics</c:v>
                </c:pt>
                <c:pt idx="2">
                  <c:v>Electronics</c:v>
                </c:pt>
                <c:pt idx="3">
                  <c:v>Electronics</c:v>
                </c:pt>
                <c:pt idx="4">
                  <c:v>Furniture</c:v>
                </c:pt>
                <c:pt idx="5">
                  <c:v>Appliances</c:v>
                </c:pt>
                <c:pt idx="6">
                  <c:v>Appliances</c:v>
                </c:pt>
                <c:pt idx="7">
                  <c:v>Clothing</c:v>
                </c:pt>
                <c:pt idx="8">
                  <c:v>Clothing</c:v>
                </c:pt>
                <c:pt idx="9">
                  <c:v>Footware</c:v>
                </c:pt>
              </c:strCache>
            </c:strRef>
          </c:tx>
          <c:spPr>
            <a:solidFill>
              <a:schemeClr val="accent5">
                <a:tint val="77000"/>
                <a:alpha val="85000"/>
              </a:schemeClr>
            </a:solidFill>
            <a:ln w="9525" cap="flat" cmpd="sng" algn="ctr">
              <a:solidFill>
                <a:schemeClr val="accent5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strRef>
              <c:f>[1]Sheet1!$A$2:$A$10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[1]Sheet1!$A$1:$A$10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4F-4079-87B6-8682CC982E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352214687"/>
        <c:axId val="1344601839"/>
        <c:axId val="0"/>
      </c:bar3DChart>
      <c:catAx>
        <c:axId val="135221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01839"/>
        <c:crosses val="autoZero"/>
        <c:auto val="1"/>
        <c:lblAlgn val="ctr"/>
        <c:lblOffset val="100"/>
        <c:noMultiLvlLbl val="0"/>
      </c:catAx>
      <c:valAx>
        <c:axId val="1344601839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1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26274741770676724"/>
          <c:y val="1.0711535996841747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116336633663365"/>
          <c:y val="0.1682729030128719"/>
          <c:w val="0.64072082754361592"/>
          <c:h val="0.59542791526059247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36-4C39-A6E7-5CE7525F7BD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36-4C39-A6E7-5CE7525F7BD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36-4C39-A6E7-5CE7525F7BDC}"/>
              </c:ext>
            </c:extLst>
          </c:dPt>
          <c:dLbls>
            <c:dLbl>
              <c:idx val="0"/>
              <c:layout>
                <c:manualLayout>
                  <c:x val="-1.2385885242067605E-2"/>
                  <c:y val="-9.0534529105311991E-3"/>
                </c:manualLayout>
              </c:layout>
              <c:tx>
                <c:rich>
                  <a:bodyPr/>
                  <a:lstStyle/>
                  <a:p>
                    <a:fld id="{2CE60C34-09EA-44CB-A6B2-52D13553C282}" type="CATEGORYNAME">
                      <a:rPr lang="en-US" b="1"/>
                      <a:pPr/>
                      <a:t>[CATEGORY NAME]</a:t>
                    </a:fld>
                    <a:fld id="{3CE52655-7A04-438C-9E44-E6F8E1916716}" type="PERCENTAGE">
                      <a:rPr lang="en-US" b="1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56575972557882"/>
                      <c:h val="0.1517919927682755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C36-4C39-A6E7-5CE7525F7BDC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[1]Sheet1!$C$1:$E$1</c:f>
              <c:strCache>
                <c:ptCount val="3"/>
                <c:pt idx="0">
                  <c:v> Jan Sales </c:v>
                </c:pt>
                <c:pt idx="1">
                  <c:v> Feb Sales </c:v>
                </c:pt>
                <c:pt idx="2">
                  <c:v> Mar Sales </c:v>
                </c:pt>
              </c:strCache>
            </c:strRef>
          </c:cat>
          <c:val>
            <c:numRef>
              <c:f>[1]Sheet1!$C$11:$E$11</c:f>
              <c:numCache>
                <c:formatCode>"$"#,##0.00</c:formatCode>
                <c:ptCount val="3"/>
                <c:pt idx="0">
                  <c:v>3450</c:v>
                </c:pt>
                <c:pt idx="1">
                  <c:v>3970</c:v>
                </c:pt>
                <c:pt idx="2">
                  <c:v>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36-4C39-A6E7-5CE7525F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shop 3, rana.xlsx]Sheet2!PivotTable4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Monthly Sales</a:t>
            </a:r>
            <a:endParaRPr lang="en-US"/>
          </a:p>
        </c:rich>
      </c:tx>
      <c:layout>
        <c:manualLayout>
          <c:xMode val="edge"/>
          <c:yMode val="edge"/>
          <c:x val="0.58875309873319226"/>
          <c:y val="3.978835415238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45769580007322"/>
          <c:y val="2.3401401747858439E-3"/>
          <c:w val="0.40674628171478566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Jan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8-4F05-A880-4F6078F5422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Feb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8-4F05-A880-4F6078F54222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Mar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8-4F05-A880-4F6078F5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737407"/>
        <c:axId val="933737887"/>
      </c:barChart>
      <c:catAx>
        <c:axId val="93373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37887"/>
        <c:crosses val="autoZero"/>
        <c:auto val="1"/>
        <c:lblAlgn val="ctr"/>
        <c:lblOffset val="100"/>
        <c:noMultiLvlLbl val="0"/>
      </c:catAx>
      <c:valAx>
        <c:axId val="93373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3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2540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shop 3, rana.xlsx]Sheet1!PivotTable3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baseline="0">
                <a:latin typeface="Algerian" panose="04020705040A02060702" pitchFamily="82" charset="0"/>
              </a:rPr>
              <a:t> Product Sales</a:t>
            </a:r>
            <a:endParaRPr lang="en-US">
              <a:latin typeface="Algerian" panose="04020705040A02060702" pitchFamily="82" charset="0"/>
            </a:endParaRPr>
          </a:p>
        </c:rich>
      </c:tx>
      <c:layout>
        <c:manualLayout>
          <c:xMode val="edge"/>
          <c:yMode val="edge"/>
          <c:x val="0.16330076944729316"/>
          <c:y val="0.1362232625121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28410241246497"/>
          <c:y val="9.7292550004117906E-2"/>
          <c:w val="0.64133048993875763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Jan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80</c:v>
                </c:pt>
                <c:pt idx="1">
                  <c:v>120</c:v>
                </c:pt>
                <c:pt idx="2">
                  <c:v>350</c:v>
                </c:pt>
                <c:pt idx="3">
                  <c:v>150</c:v>
                </c:pt>
                <c:pt idx="4">
                  <c:v>300</c:v>
                </c:pt>
                <c:pt idx="5">
                  <c:v>1200</c:v>
                </c:pt>
                <c:pt idx="6">
                  <c:v>800</c:v>
                </c:pt>
                <c:pt idx="7">
                  <c:v>250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1-47FB-8B69-C45D34FA021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Feb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100</c:v>
                </c:pt>
                <c:pt idx="1">
                  <c:v>140</c:v>
                </c:pt>
                <c:pt idx="2">
                  <c:v>300</c:v>
                </c:pt>
                <c:pt idx="3">
                  <c:v>200</c:v>
                </c:pt>
                <c:pt idx="4">
                  <c:v>350</c:v>
                </c:pt>
                <c:pt idx="5">
                  <c:v>1400</c:v>
                </c:pt>
                <c:pt idx="6">
                  <c:v>950</c:v>
                </c:pt>
                <c:pt idx="7">
                  <c:v>280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1-47FB-8B69-C45D34FA021B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Mar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9"/>
                <c:pt idx="0">
                  <c:v>110</c:v>
                </c:pt>
                <c:pt idx="1">
                  <c:v>160</c:v>
                </c:pt>
                <c:pt idx="2">
                  <c:v>400</c:v>
                </c:pt>
                <c:pt idx="3">
                  <c:v>250</c:v>
                </c:pt>
                <c:pt idx="4">
                  <c:v>400</c:v>
                </c:pt>
                <c:pt idx="5">
                  <c:v>1350</c:v>
                </c:pt>
                <c:pt idx="6">
                  <c:v>1100</c:v>
                </c:pt>
                <c:pt idx="7">
                  <c:v>320</c:v>
                </c:pt>
                <c:pt idx="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1-47FB-8B69-C45D34FA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370879"/>
        <c:axId val="695375679"/>
      </c:barChart>
      <c:catAx>
        <c:axId val="69537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75679"/>
        <c:crosses val="autoZero"/>
        <c:auto val="1"/>
        <c:lblAlgn val="ctr"/>
        <c:lblOffset val="100"/>
        <c:noMultiLvlLbl val="0"/>
      </c:catAx>
      <c:valAx>
        <c:axId val="69537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7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31876188996273"/>
          <c:y val="0.44781445866619712"/>
          <c:w val="0.18578194279541796"/>
          <c:h val="0.22823901442969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241300"/>
    </a:effectLst>
  </c:spPr>
  <c:txPr>
    <a:bodyPr/>
    <a:lstStyle/>
    <a:p>
      <a:pPr>
        <a:defRPr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shop 3, rana.xlsx]Sheet3!PivotTable9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Monthly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14038245219348"/>
          <c:y val="0.11941940992315719"/>
          <c:w val="0.63108278965129361"/>
          <c:h val="0.4977478417607437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Jan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80</c:v>
                </c:pt>
                <c:pt idx="1">
                  <c:v>120</c:v>
                </c:pt>
                <c:pt idx="2">
                  <c:v>350</c:v>
                </c:pt>
                <c:pt idx="3">
                  <c:v>150</c:v>
                </c:pt>
                <c:pt idx="4">
                  <c:v>300</c:v>
                </c:pt>
                <c:pt idx="5">
                  <c:v>1200</c:v>
                </c:pt>
                <c:pt idx="6">
                  <c:v>800</c:v>
                </c:pt>
                <c:pt idx="7">
                  <c:v>250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3-4AA3-BECF-5BACE4E3A03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Feb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Sheet3!$C$4:$C$13</c:f>
              <c:numCache>
                <c:formatCode>General</c:formatCode>
                <c:ptCount val="9"/>
                <c:pt idx="0">
                  <c:v>100</c:v>
                </c:pt>
                <c:pt idx="1">
                  <c:v>140</c:v>
                </c:pt>
                <c:pt idx="2">
                  <c:v>300</c:v>
                </c:pt>
                <c:pt idx="3">
                  <c:v>200</c:v>
                </c:pt>
                <c:pt idx="4">
                  <c:v>350</c:v>
                </c:pt>
                <c:pt idx="5">
                  <c:v>1400</c:v>
                </c:pt>
                <c:pt idx="6">
                  <c:v>950</c:v>
                </c:pt>
                <c:pt idx="7">
                  <c:v>280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3-4AA3-BECF-5BACE4E3A037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Mar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Sheet3!$A$4:$A$13</c:f>
              <c:strCache>
                <c:ptCount val="9"/>
                <c:pt idx="0">
                  <c:v>Blender</c:v>
                </c:pt>
                <c:pt idx="1">
                  <c:v>Coffee Maker</c:v>
                </c:pt>
                <c:pt idx="2">
                  <c:v>Desk Chair</c:v>
                </c:pt>
                <c:pt idx="3">
                  <c:v>Headphones</c:v>
                </c:pt>
                <c:pt idx="4">
                  <c:v>Jeans</c:v>
                </c:pt>
                <c:pt idx="5">
                  <c:v>Laptop</c:v>
                </c:pt>
                <c:pt idx="6">
                  <c:v>Smartphone</c:v>
                </c:pt>
                <c:pt idx="7">
                  <c:v>Sneakers</c:v>
                </c:pt>
                <c:pt idx="8">
                  <c:v>T-Shirt</c:v>
                </c:pt>
              </c:strCache>
            </c:strRef>
          </c:cat>
          <c:val>
            <c:numRef>
              <c:f>Sheet3!$D$4:$D$13</c:f>
              <c:numCache>
                <c:formatCode>General</c:formatCode>
                <c:ptCount val="9"/>
                <c:pt idx="0">
                  <c:v>110</c:v>
                </c:pt>
                <c:pt idx="1">
                  <c:v>160</c:v>
                </c:pt>
                <c:pt idx="2">
                  <c:v>400</c:v>
                </c:pt>
                <c:pt idx="3">
                  <c:v>250</c:v>
                </c:pt>
                <c:pt idx="4">
                  <c:v>400</c:v>
                </c:pt>
                <c:pt idx="5">
                  <c:v>1350</c:v>
                </c:pt>
                <c:pt idx="6">
                  <c:v>1100</c:v>
                </c:pt>
                <c:pt idx="7">
                  <c:v>320</c:v>
                </c:pt>
                <c:pt idx="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3-4AA3-BECF-5BACE4E3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3729727"/>
        <c:axId val="933722047"/>
        <c:axId val="0"/>
      </c:bar3DChart>
      <c:catAx>
        <c:axId val="93372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2047"/>
        <c:crosses val="autoZero"/>
        <c:auto val="1"/>
        <c:lblAlgn val="ctr"/>
        <c:lblOffset val="100"/>
        <c:noMultiLvlLbl val="0"/>
      </c:catAx>
      <c:valAx>
        <c:axId val="9337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29727"/>
        <c:crosses val="autoZero"/>
        <c:crossBetween val="between"/>
      </c:valAx>
      <c:spPr>
        <a:noFill/>
        <a:ln>
          <a:noFill/>
        </a:ln>
        <a:effectLst>
          <a:glow rad="127000">
            <a:schemeClr val="bg2">
              <a:alpha val="69000"/>
            </a:schemeClr>
          </a:glo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  <a:alpha val="97000"/>
      </a:schemeClr>
    </a:solidFill>
    <a:ln w="9525" cap="flat" cmpd="sng" algn="ctr">
      <a:noFill/>
      <a:round/>
    </a:ln>
    <a:effectLst>
      <a:glow rad="127000">
        <a:schemeClr val="tx2">
          <a:lumMod val="10000"/>
          <a:lumOff val="90000"/>
          <a:alpha val="80000"/>
        </a:schemeClr>
      </a:glow>
      <a:softEdge rad="635000"/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shop 3, rana.xlsx]sheet5!PivotTable14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Sales</a:t>
            </a:r>
            <a:r>
              <a:rPr lang="en-US" baseline="0">
                <a:latin typeface="Arial Black" panose="020B0A04020102020204" pitchFamily="34" charset="0"/>
              </a:rPr>
              <a:t> By Category</a:t>
            </a:r>
            <a:endParaRPr lang="en-US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43497033621899467"/>
          <c:y val="3.5365732157822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300306211723534E-2"/>
              <c:y val="4.3810148731408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300306211723534E-2"/>
              <c:y val="4.3810148731408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300306211723486E-2"/>
              <c:y val="2.0662000583260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1A-4879-A371-32723B4BF6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1A-4879-A371-32723B4BF6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1A-4879-A371-32723B4BF6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1A-4879-A371-32723B4BF638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1A-4879-A371-32723B4BF638}"/>
              </c:ext>
            </c:extLst>
          </c:dPt>
          <c:dLbls>
            <c:dLbl>
              <c:idx val="4"/>
              <c:layout>
                <c:manualLayout>
                  <c:x val="3.1300306211723486E-2"/>
                  <c:y val="2.066200058326042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1A-4879-A371-32723B4BF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sheet5!$B$4:$B$9</c:f>
              <c:numCache>
                <c:formatCode>"$"#,##0</c:formatCode>
                <c:ptCount val="5"/>
                <c:pt idx="0">
                  <c:v>710</c:v>
                </c:pt>
                <c:pt idx="1">
                  <c:v>1800</c:v>
                </c:pt>
                <c:pt idx="2">
                  <c:v>7400</c:v>
                </c:pt>
                <c:pt idx="3">
                  <c:v>850</c:v>
                </c:pt>
                <c:pt idx="4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1A-4879-A371-32723B4B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>
      <a:softEdge rad="292100"/>
    </a:effectLst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 shop 3, rana.xlsx]Sheet18!PivotTable24</c:name>
    <c:fmtId val="8"/>
  </c:pivotSource>
  <c:chart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7361177678877"/>
          <c:y val="4.4444444444444446E-2"/>
          <c:w val="0.50701047586443004"/>
          <c:h val="0.7066095071449402"/>
        </c:manualLayout>
      </c:layout>
      <c:lineChart>
        <c:grouping val="standard"/>
        <c:varyColors val="0"/>
        <c:ser>
          <c:idx val="0"/>
          <c:order val="0"/>
          <c:tx>
            <c:strRef>
              <c:f>Sheet18!$B$3</c:f>
              <c:strCache>
                <c:ptCount val="1"/>
                <c:pt idx="0">
                  <c:v>Sum of Jan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Sheet18!$A$4:$A$9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Sheet18!$B$4:$B$9</c:f>
              <c:numCache>
                <c:formatCode>General</c:formatCode>
                <c:ptCount val="5"/>
                <c:pt idx="0">
                  <c:v>200</c:v>
                </c:pt>
                <c:pt idx="1">
                  <c:v>500</c:v>
                </c:pt>
                <c:pt idx="2">
                  <c:v>2150</c:v>
                </c:pt>
                <c:pt idx="3">
                  <c:v>250</c:v>
                </c:pt>
                <c:pt idx="4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7-4179-B8D9-75FDCEA3A2D2}"/>
            </c:ext>
          </c:extLst>
        </c:ser>
        <c:ser>
          <c:idx val="1"/>
          <c:order val="1"/>
          <c:tx>
            <c:strRef>
              <c:f>Sheet18!$C$3</c:f>
              <c:strCache>
                <c:ptCount val="1"/>
                <c:pt idx="0">
                  <c:v>Sum of Feb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Sheet18!$A$4:$A$9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Sheet18!$C$4:$C$9</c:f>
              <c:numCache>
                <c:formatCode>General</c:formatCode>
                <c:ptCount val="5"/>
                <c:pt idx="0">
                  <c:v>240</c:v>
                </c:pt>
                <c:pt idx="1">
                  <c:v>600</c:v>
                </c:pt>
                <c:pt idx="2">
                  <c:v>2550</c:v>
                </c:pt>
                <c:pt idx="3">
                  <c:v>280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7-4179-B8D9-75FDCEA3A2D2}"/>
            </c:ext>
          </c:extLst>
        </c:ser>
        <c:ser>
          <c:idx val="2"/>
          <c:order val="2"/>
          <c:tx>
            <c:strRef>
              <c:f>Sheet18!$D$3</c:f>
              <c:strCache>
                <c:ptCount val="1"/>
                <c:pt idx="0">
                  <c:v>Sum of Mar Sales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Sheet18!$A$4:$A$9</c:f>
              <c:strCache>
                <c:ptCount val="5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Footware</c:v>
                </c:pt>
                <c:pt idx="4">
                  <c:v>Furniture</c:v>
                </c:pt>
              </c:strCache>
            </c:strRef>
          </c:cat>
          <c:val>
            <c:numRef>
              <c:f>Sheet18!$D$4:$D$9</c:f>
              <c:numCache>
                <c:formatCode>General</c:formatCode>
                <c:ptCount val="5"/>
                <c:pt idx="0">
                  <c:v>270</c:v>
                </c:pt>
                <c:pt idx="1">
                  <c:v>700</c:v>
                </c:pt>
                <c:pt idx="2">
                  <c:v>2700</c:v>
                </c:pt>
                <c:pt idx="3">
                  <c:v>320</c:v>
                </c:pt>
                <c:pt idx="4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7-4179-B8D9-75FDCEA3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036927"/>
        <c:axId val="1152037407"/>
      </c:lineChart>
      <c:catAx>
        <c:axId val="115203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37407"/>
        <c:crosses val="autoZero"/>
        <c:auto val="1"/>
        <c:lblAlgn val="ctr"/>
        <c:lblOffset val="100"/>
        <c:noMultiLvlLbl val="0"/>
      </c:catAx>
      <c:valAx>
        <c:axId val="11520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image" Target="../media/image1.emf"/><Relationship Id="rId4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6351</xdr:rowOff>
    </xdr:from>
    <xdr:to>
      <xdr:col>9</xdr:col>
      <xdr:colOff>3352800</xdr:colOff>
      <xdr:row>10</xdr:row>
      <xdr:rowOff>177801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57BC1C-E749-435F-8779-0AF90AE42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11</xdr:row>
      <xdr:rowOff>19050</xdr:rowOff>
    </xdr:from>
    <xdr:to>
      <xdr:col>9</xdr:col>
      <xdr:colOff>3314700</xdr:colOff>
      <xdr:row>21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E49B81-635F-4C31-ABDE-7D8069C62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11483</xdr:colOff>
      <xdr:row>0</xdr:row>
      <xdr:rowOff>12700</xdr:rowOff>
    </xdr:from>
    <xdr:to>
      <xdr:col>3</xdr:col>
      <xdr:colOff>135106</xdr:colOff>
      <xdr:row>32</xdr:row>
      <xdr:rowOff>128351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1CD112-2C6C-77FE-2EB3-88C8E46A54B6}"/>
            </a:ext>
          </a:extLst>
        </xdr:cNvPr>
        <xdr:cNvSpPr/>
      </xdr:nvSpPr>
      <xdr:spPr>
        <a:xfrm>
          <a:off x="11483" y="12700"/>
          <a:ext cx="1947559" cy="595224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135106</xdr:colOff>
      <xdr:row>0</xdr:row>
      <xdr:rowOff>20266</xdr:rowOff>
    </xdr:from>
    <xdr:to>
      <xdr:col>23</xdr:col>
      <xdr:colOff>27021</xdr:colOff>
      <xdr:row>32</xdr:row>
      <xdr:rowOff>168883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F8F7BD9-0839-CF98-AA6C-A7F86B9242B0}"/>
            </a:ext>
          </a:extLst>
        </xdr:cNvPr>
        <xdr:cNvSpPr/>
      </xdr:nvSpPr>
      <xdr:spPr>
        <a:xfrm>
          <a:off x="1959042" y="20266"/>
          <a:ext cx="14145639" cy="598521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124567</xdr:colOff>
      <xdr:row>2</xdr:row>
      <xdr:rowOff>171046</xdr:rowOff>
    </xdr:from>
    <xdr:to>
      <xdr:col>9</xdr:col>
      <xdr:colOff>40532</xdr:colOff>
      <xdr:row>16</xdr:row>
      <xdr:rowOff>101331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3C8EC1A-C44D-4A7F-B09A-6AFE04BA1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851305</xdr:colOff>
      <xdr:row>16</xdr:row>
      <xdr:rowOff>40532</xdr:rowOff>
    </xdr:from>
    <xdr:to>
      <xdr:col>14</xdr:col>
      <xdr:colOff>601225</xdr:colOff>
      <xdr:row>31</xdr:row>
      <xdr:rowOff>121596</xdr:rowOff>
    </xdr:to>
    <xdr:graphicFrame macro="">
      <xdr:nvGraphicFramePr>
        <xdr:cNvPr id="18" name="Chart 17" descr="&#10;">
          <a:extLst>
            <a:ext uri="{FF2B5EF4-FFF2-40B4-BE49-F238E27FC236}">
              <a16:creationId xmlns:a16="http://schemas.microsoft.com/office/drawing/2014/main" id="{CD6F237A-5025-4AD9-8FDF-01E129812EA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146590</xdr:colOff>
      <xdr:row>2</xdr:row>
      <xdr:rowOff>168883</xdr:rowOff>
    </xdr:from>
    <xdr:to>
      <xdr:col>2</xdr:col>
      <xdr:colOff>493138</xdr:colOff>
      <xdr:row>5</xdr:row>
      <xdr:rowOff>171451</xdr:rowOff>
    </xdr:to>
    <xdr:sp macro="" textlink="Sheet15!F4">
      <xdr:nvSpPr>
        <xdr:cNvPr id="19" name="TextBox 18">
          <a:extLst>
            <a:ext uri="{FF2B5EF4-FFF2-40B4-BE49-F238E27FC236}">
              <a16:creationId xmlns:a16="http://schemas.microsoft.com/office/drawing/2014/main" id="{2F044ED3-08AC-0450-E979-6A1549D7D332}"/>
            </a:ext>
          </a:extLst>
        </xdr:cNvPr>
        <xdr:cNvSpPr txBox="1"/>
      </xdr:nvSpPr>
      <xdr:spPr>
        <a:xfrm>
          <a:off x="146590" y="533670"/>
          <a:ext cx="1562505" cy="54974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Total Sales 💰</a:t>
          </a:r>
        </a:p>
        <a:p>
          <a:fld id="{F41BCDF0-58CC-4A6F-982A-729F9D584CF5}" type="TxLink"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 </a:t>
          </a:fld>
          <a:endParaRPr lang="en-US" sz="12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194822</xdr:colOff>
      <xdr:row>19</xdr:row>
      <xdr:rowOff>180773</xdr:rowOff>
    </xdr:from>
    <xdr:to>
      <xdr:col>3</xdr:col>
      <xdr:colOff>55122</xdr:colOff>
      <xdr:row>24</xdr:row>
      <xdr:rowOff>36479</xdr:rowOff>
    </xdr:to>
    <xdr:sp macro="" textlink="summary!I9">
      <xdr:nvSpPr>
        <xdr:cNvPr id="21" name="TextBox 20">
          <a:extLst>
            <a:ext uri="{FF2B5EF4-FFF2-40B4-BE49-F238E27FC236}">
              <a16:creationId xmlns:a16="http://schemas.microsoft.com/office/drawing/2014/main" id="{AD99BEF8-4CC5-8D71-AF9A-4E9AECCE6337}"/>
            </a:ext>
          </a:extLst>
        </xdr:cNvPr>
        <xdr:cNvSpPr txBox="1"/>
      </xdr:nvSpPr>
      <xdr:spPr>
        <a:xfrm>
          <a:off x="194822" y="3646252"/>
          <a:ext cx="1684236" cy="76767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t>Best Sales For a Product</a:t>
          </a:r>
        </a:p>
        <a:p>
          <a:pPr marL="0" indent="0"/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t>    </a:t>
          </a:r>
          <a:fld id="{24D3E1CD-B961-487A-B811-788278D4D32E}" type="TxLink"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pPr marL="0" indent="0"/>
            <a:t>$3,950</a:t>
          </a:fld>
          <a:endParaRPr lang="en-US" sz="1200" b="0" i="0" u="none" strike="noStrike">
            <a:solidFill>
              <a:schemeClr val="bg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121594</xdr:colOff>
      <xdr:row>24</xdr:row>
      <xdr:rowOff>162128</xdr:rowOff>
    </xdr:from>
    <xdr:to>
      <xdr:col>2</xdr:col>
      <xdr:colOff>540423</xdr:colOff>
      <xdr:row>28</xdr:row>
      <xdr:rowOff>168883</xdr:rowOff>
    </xdr:to>
    <xdr:sp macro="" textlink="summary!I14">
      <xdr:nvSpPr>
        <xdr:cNvPr id="22" name="TextBox 21">
          <a:extLst>
            <a:ext uri="{FF2B5EF4-FFF2-40B4-BE49-F238E27FC236}">
              <a16:creationId xmlns:a16="http://schemas.microsoft.com/office/drawing/2014/main" id="{2AC4AA40-4396-193E-EA9C-2D84C8E2E053}"/>
            </a:ext>
          </a:extLst>
        </xdr:cNvPr>
        <xdr:cNvSpPr txBox="1"/>
      </xdr:nvSpPr>
      <xdr:spPr>
        <a:xfrm rot="10800000" flipV="1">
          <a:off x="121594" y="4539575"/>
          <a:ext cx="1634786" cy="73632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t>Best  Sales For a Category</a:t>
          </a:r>
        </a:p>
        <a:p>
          <a:pPr marL="0" indent="0"/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t>    </a:t>
          </a:r>
          <a:fld id="{82033677-6EF3-4397-83E6-90C8ECC76645}" type="TxLink"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  <a:ea typeface="+mn-ea"/>
              <a:cs typeface="+mn-cs"/>
            </a:rPr>
            <a:pPr marL="0" indent="0"/>
            <a:t>$7,400</a:t>
          </a:fld>
          <a:endParaRPr lang="en-US" sz="1200" b="0" i="0" u="none" strike="noStrike">
            <a:solidFill>
              <a:schemeClr val="bg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63500</xdr:colOff>
      <xdr:row>0</xdr:row>
      <xdr:rowOff>44450</xdr:rowOff>
    </xdr:from>
    <xdr:to>
      <xdr:col>9</xdr:col>
      <xdr:colOff>342900</xdr:colOff>
      <xdr:row>2</xdr:row>
      <xdr:rowOff>165100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9632B62-DAA4-B828-B9BD-CB188859D3A7}"/>
            </a:ext>
          </a:extLst>
        </xdr:cNvPr>
        <xdr:cNvSpPr txBox="1"/>
      </xdr:nvSpPr>
      <xdr:spPr>
        <a:xfrm>
          <a:off x="63500" y="44450"/>
          <a:ext cx="6769100" cy="488950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>
              <a:solidFill>
                <a:schemeClr val="bg1"/>
              </a:solidFill>
              <a:latin typeface="Algerian" panose="04020705040A02060702" pitchFamily="82" charset="0"/>
            </a:rPr>
            <a:t>Sales</a:t>
          </a:r>
          <a:r>
            <a:rPr lang="en-US" sz="1500" baseline="0">
              <a:solidFill>
                <a:schemeClr val="bg1"/>
              </a:solidFill>
              <a:latin typeface="Algerian" panose="04020705040A02060702" pitchFamily="82" charset="0"/>
            </a:rPr>
            <a:t> in Our </a:t>
          </a:r>
          <a:r>
            <a:rPr lang="en-US" sz="1500" baseline="0">
              <a:solidFill>
                <a:schemeClr val="bg1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lgerian" panose="04020705040A02060702" pitchFamily="82" charset="0"/>
            </a:rPr>
            <a:t>Company</a:t>
          </a:r>
          <a:r>
            <a:rPr lang="en-US" sz="1500" baseline="0">
              <a:solidFill>
                <a:schemeClr val="bg1"/>
              </a:solidFill>
              <a:latin typeface="Algerian" panose="04020705040A02060702" pitchFamily="82" charset="0"/>
            </a:rPr>
            <a:t> In The First Three Months</a:t>
          </a:r>
          <a:endParaRPr lang="en-US" sz="15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9</xdr:col>
      <xdr:colOff>11214</xdr:colOff>
      <xdr:row>3</xdr:row>
      <xdr:rowOff>95252</xdr:rowOff>
    </xdr:from>
    <xdr:to>
      <xdr:col>15</xdr:col>
      <xdr:colOff>567448</xdr:colOff>
      <xdr:row>17</xdr:row>
      <xdr:rowOff>133353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5F72E49-0261-4D99-A084-8FEDD0818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221575</xdr:colOff>
      <xdr:row>17</xdr:row>
      <xdr:rowOff>128350</xdr:rowOff>
    </xdr:from>
    <xdr:to>
      <xdr:col>7</xdr:col>
      <xdr:colOff>905213</xdr:colOff>
      <xdr:row>31</xdr:row>
      <xdr:rowOff>134294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FFAF551-EAAC-4810-B6E1-96E9B6333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108084</xdr:colOff>
      <xdr:row>6</xdr:row>
      <xdr:rowOff>148617</xdr:rowOff>
    </xdr:from>
    <xdr:to>
      <xdr:col>3</xdr:col>
      <xdr:colOff>87819</xdr:colOff>
      <xdr:row>9</xdr:row>
      <xdr:rowOff>162128</xdr:rowOff>
    </xdr:to>
    <xdr:sp macro="" textlink="Sheet15!E4">
      <xdr:nvSpPr>
        <xdr:cNvPr id="29" name="TextBox 28">
          <a:extLst>
            <a:ext uri="{FF2B5EF4-FFF2-40B4-BE49-F238E27FC236}">
              <a16:creationId xmlns:a16="http://schemas.microsoft.com/office/drawing/2014/main" id="{670B2F28-E3DD-6F22-9430-E1176DEA2305}"/>
            </a:ext>
          </a:extLst>
        </xdr:cNvPr>
        <xdr:cNvSpPr txBox="1"/>
      </xdr:nvSpPr>
      <xdr:spPr>
        <a:xfrm>
          <a:off x="108084" y="1242979"/>
          <a:ext cx="1803671" cy="560692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Sales</a:t>
          </a:r>
          <a:r>
            <a:rPr lang="en-US" sz="1100" b="0" i="0" u="none" strike="noStrike" baseline="0">
              <a:solidFill>
                <a:schemeClr val="bg1"/>
              </a:solidFill>
              <a:latin typeface="Algerian" panose="04020705040A02060702" pitchFamily="82" charset="0"/>
            </a:rPr>
            <a:t> in March</a:t>
          </a:r>
        </a:p>
        <a:p>
          <a:r>
            <a:rPr lang="en-US" sz="11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        </a:t>
          </a:r>
          <a:fld id="{CF4EF26D-BC18-4E58-AD39-C5BB5566C544}" type="TxLink">
            <a:rPr lang="en-US" sz="11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$11,810</a:t>
          </a:fld>
          <a:endParaRPr lang="en-US" sz="11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94574</xdr:colOff>
      <xdr:row>16</xdr:row>
      <xdr:rowOff>101329</xdr:rowOff>
    </xdr:from>
    <xdr:to>
      <xdr:col>3</xdr:col>
      <xdr:colOff>60798</xdr:colOff>
      <xdr:row>19</xdr:row>
      <xdr:rowOff>81064</xdr:rowOff>
    </xdr:to>
    <xdr:sp macro="" textlink="Sheet15!C4">
      <xdr:nvSpPr>
        <xdr:cNvPr id="30" name="TextBox 29">
          <a:extLst>
            <a:ext uri="{FF2B5EF4-FFF2-40B4-BE49-F238E27FC236}">
              <a16:creationId xmlns:a16="http://schemas.microsoft.com/office/drawing/2014/main" id="{DFF93A7E-BBF0-D762-BBD1-A1343AFBBF78}"/>
            </a:ext>
          </a:extLst>
        </xdr:cNvPr>
        <xdr:cNvSpPr txBox="1"/>
      </xdr:nvSpPr>
      <xdr:spPr>
        <a:xfrm>
          <a:off x="94574" y="3019627"/>
          <a:ext cx="1790160" cy="52691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Sales</a:t>
          </a:r>
          <a:r>
            <a:rPr lang="en-US" sz="1200" b="0" i="0" u="none" strike="noStrike" baseline="0">
              <a:solidFill>
                <a:schemeClr val="bg1"/>
              </a:solidFill>
              <a:latin typeface="Algerian" panose="04020705040A02060702" pitchFamily="82" charset="0"/>
            </a:rPr>
            <a:t> in januray</a:t>
          </a:r>
        </a:p>
        <a:p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       </a:t>
          </a:r>
          <a:fld id="{F4E747A2-E616-46D9-9BD0-EA98B332B80A}" type="TxLink"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$3,970</a:t>
          </a:fld>
          <a:endParaRPr lang="en-US" sz="12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60798</xdr:colOff>
      <xdr:row>11</xdr:row>
      <xdr:rowOff>141862</xdr:rowOff>
    </xdr:from>
    <xdr:to>
      <xdr:col>3</xdr:col>
      <xdr:colOff>74309</xdr:colOff>
      <xdr:row>14</xdr:row>
      <xdr:rowOff>114840</xdr:rowOff>
    </xdr:to>
    <xdr:sp macro="" textlink="Sheet15!D4">
      <xdr:nvSpPr>
        <xdr:cNvPr id="31" name="TextBox 30">
          <a:extLst>
            <a:ext uri="{FF2B5EF4-FFF2-40B4-BE49-F238E27FC236}">
              <a16:creationId xmlns:a16="http://schemas.microsoft.com/office/drawing/2014/main" id="{C3056A3F-EC05-BB0E-4F7C-EF5EB446E0B9}"/>
            </a:ext>
          </a:extLst>
        </xdr:cNvPr>
        <xdr:cNvSpPr txBox="1"/>
      </xdr:nvSpPr>
      <xdr:spPr>
        <a:xfrm>
          <a:off x="60798" y="2148192"/>
          <a:ext cx="1837447" cy="52015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Sales In February</a:t>
          </a:r>
        </a:p>
        <a:p>
          <a:r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        </a:t>
          </a:r>
          <a:fld id="{F9C1DB8B-E4C8-459D-8E4C-DF4712713F09}" type="TxLink">
            <a:rPr lang="en-US" sz="1200" b="0" i="0" u="none" strike="noStrike">
              <a:solidFill>
                <a:schemeClr val="bg1"/>
              </a:solidFill>
              <a:latin typeface="Algerian" panose="04020705040A02060702" pitchFamily="82" charset="0"/>
            </a:rPr>
            <a:t>$4,390</a:t>
          </a:fld>
          <a:endParaRPr lang="en-US" sz="1200">
            <a:solidFill>
              <a:schemeClr val="bg1"/>
            </a:solidFill>
            <a:latin typeface="Algerian" panose="04020705040A02060702" pitchFamily="82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358068</xdr:colOff>
          <xdr:row>21</xdr:row>
          <xdr:rowOff>101329</xdr:rowOff>
        </xdr:from>
        <xdr:to>
          <xdr:col>22</xdr:col>
          <xdr:colOff>234467</xdr:colOff>
          <xdr:row>27</xdr:row>
          <xdr:rowOff>168886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D556B0B2-9139-0823-E9E4-58ACC56FFE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7!$H$5:$K$10" spid="_x0000_s205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051738" y="3931595"/>
              <a:ext cx="4132250" cy="1161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16</xdr:col>
      <xdr:colOff>195905</xdr:colOff>
      <xdr:row>3</xdr:row>
      <xdr:rowOff>13510</xdr:rowOff>
    </xdr:from>
    <xdr:to>
      <xdr:col>22</xdr:col>
      <xdr:colOff>199283</xdr:colOff>
      <xdr:row>17</xdr:row>
      <xdr:rowOff>31750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84E737E-DB7F-4237-9FB6-9525FB625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wabb\Downloads\the%20homework\excel%20home%20work%20(2)sales-data.xlsx" TargetMode="External"/><Relationship Id="rId1" Type="http://schemas.openxmlformats.org/officeDocument/2006/relationships/externalLinkPath" Target="file:///C:\Users\rwabb\Downloads\the%20homework\excel%20home%20work%20(2)sales-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sh board"/>
      <sheetName val="Sheet5"/>
    </sheetNames>
    <sheetDataSet>
      <sheetData sheetId="0">
        <row r="1">
          <cell r="A1" t="str">
            <v>Product</v>
          </cell>
          <cell r="B1" t="str">
            <v>Category</v>
          </cell>
          <cell r="C1" t="str">
            <v>Jan Sales</v>
          </cell>
          <cell r="D1" t="str">
            <v>Feb Sales</v>
          </cell>
          <cell r="E1" t="str">
            <v>Mar Sales</v>
          </cell>
          <cell r="F1" t="str">
            <v>Total</v>
          </cell>
        </row>
        <row r="2">
          <cell r="A2" t="str">
            <v>Laptop</v>
          </cell>
          <cell r="B2" t="str">
            <v>Electronics</v>
          </cell>
          <cell r="F2">
            <v>3950</v>
          </cell>
        </row>
        <row r="3">
          <cell r="A3" t="str">
            <v>Smartphone</v>
          </cell>
          <cell r="B3" t="str">
            <v>Electronics</v>
          </cell>
          <cell r="F3">
            <v>2850</v>
          </cell>
        </row>
        <row r="4">
          <cell r="A4" t="str">
            <v>Headphones</v>
          </cell>
          <cell r="B4" t="str">
            <v>Electronics</v>
          </cell>
          <cell r="F4">
            <v>600</v>
          </cell>
        </row>
        <row r="5">
          <cell r="A5" t="str">
            <v>Desk Chair</v>
          </cell>
          <cell r="B5" t="str">
            <v>Furniture</v>
          </cell>
          <cell r="F5">
            <v>1050</v>
          </cell>
        </row>
        <row r="6">
          <cell r="A6" t="str">
            <v>Coffee Maker</v>
          </cell>
          <cell r="B6" t="str">
            <v>Appliances</v>
          </cell>
          <cell r="F6">
            <v>420</v>
          </cell>
        </row>
        <row r="7">
          <cell r="A7" t="str">
            <v>Blender</v>
          </cell>
          <cell r="B7" t="str">
            <v>Appliances</v>
          </cell>
          <cell r="F7">
            <v>290</v>
          </cell>
        </row>
        <row r="8">
          <cell r="A8" t="str">
            <v>T-Shirt</v>
          </cell>
          <cell r="B8" t="str">
            <v>Clothing</v>
          </cell>
          <cell r="F8">
            <v>750</v>
          </cell>
        </row>
        <row r="9">
          <cell r="A9" t="str">
            <v>Jeans</v>
          </cell>
          <cell r="B9" t="str">
            <v>Clothing</v>
          </cell>
          <cell r="F9">
            <v>1050</v>
          </cell>
        </row>
        <row r="10">
          <cell r="A10" t="str">
            <v>Sneakers</v>
          </cell>
          <cell r="B10" t="str">
            <v>Footware</v>
          </cell>
          <cell r="F10">
            <v>850</v>
          </cell>
        </row>
        <row r="11">
          <cell r="C11">
            <v>3450</v>
          </cell>
          <cell r="D11">
            <v>3970</v>
          </cell>
          <cell r="E11">
            <v>4390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171.048609375001" createdVersion="8" refreshedVersion="8" minRefreshableVersion="3" recordCount="9" xr:uid="{B5183B23-86E7-4509-9359-4BEED9F9D781}">
  <cacheSource type="worksheet">
    <worksheetSource ref="A1:F10" sheet="Data"/>
  </cacheSource>
  <cacheFields count="6">
    <cacheField name="Product" numFmtId="0">
      <sharedItems count="9">
        <s v="Laptop"/>
        <s v="Smartphone"/>
        <s v="Headphones"/>
        <s v="Desk Chair"/>
        <s v="Coffee Maker"/>
        <s v="Blender"/>
        <s v="T-Shirt"/>
        <s v="Jeans"/>
        <s v="Sneakers"/>
      </sharedItems>
    </cacheField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171">
      <sharedItems containsSemiMixedTypes="0" containsString="0" containsNumber="1" containsInteger="1" minValue="80" maxValue="1200"/>
    </cacheField>
    <cacheField name="Feb Sales" numFmtId="171">
      <sharedItems containsSemiMixedTypes="0" containsString="0" containsNumber="1" containsInteger="1" minValue="100" maxValue="1400"/>
    </cacheField>
    <cacheField name="Mar Sales" numFmtId="171">
      <sharedItems containsSemiMixedTypes="0" containsString="0" containsNumber="1" containsInteger="1" minValue="110" maxValue="1350"/>
    </cacheField>
    <cacheField name="Total" numFmtId="171">
      <sharedItems containsSemiMixedTypes="0" containsString="0" containsNumber="1" containsInteger="1" minValue="290" maxValue="3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171.154236921298" createdVersion="8" refreshedVersion="8" minRefreshableVersion="3" recordCount="9" xr:uid="{023AFF06-031D-404A-B01D-006FB2EA6F2E}">
  <cacheSource type="worksheet">
    <worksheetSource ref="A4:D13" sheet="Sheet3"/>
  </cacheSource>
  <cacheFields count="4">
    <cacheField name="Blender" numFmtId="0">
      <sharedItems/>
    </cacheField>
    <cacheField name="80" numFmtId="0">
      <sharedItems containsSemiMixedTypes="0" containsString="0" containsNumber="1" containsInteger="1" minValue="120" maxValue="3450"/>
    </cacheField>
    <cacheField name="100" numFmtId="0">
      <sharedItems containsSemiMixedTypes="0" containsString="0" containsNumber="1" containsInteger="1" minValue="140" maxValue="3970"/>
    </cacheField>
    <cacheField name="110" numFmtId="0">
      <sharedItems containsSemiMixedTypes="0" containsString="0" containsNumber="1" containsInteger="1" minValue="160" maxValue="4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172.851925578703" createdVersion="8" refreshedVersion="8" minRefreshableVersion="3" recordCount="10" xr:uid="{9C02000E-5BE8-48AC-9595-63A5F910C581}">
  <cacheSource type="worksheet">
    <worksheetSource ref="A1:F11" sheet="Data"/>
  </cacheSource>
  <cacheFields count="6">
    <cacheField name="Product" numFmtId="0">
      <sharedItems count="10">
        <s v="Laptop"/>
        <s v="Smartphone"/>
        <s v="Headphones"/>
        <s v="Desk Chair"/>
        <s v="Coffee Maker"/>
        <s v="Blender"/>
        <s v="T-Shirt"/>
        <s v="Jeans"/>
        <s v="Sneakers"/>
        <s v="Total PER MONTH"/>
      </sharedItems>
    </cacheField>
    <cacheField name="Category" numFmtId="0">
      <sharedItems containsBlank="1" count="6">
        <s v="Electronics"/>
        <s v="Furniture"/>
        <s v="Appliances"/>
        <s v="Clothing"/>
        <s v="Footware"/>
        <m/>
      </sharedItems>
    </cacheField>
    <cacheField name="Jan Sales" numFmtId="171">
      <sharedItems containsSemiMixedTypes="0" containsString="0" containsNumber="1" containsInteger="1" minValue="80" maxValue="3450"/>
    </cacheField>
    <cacheField name="Feb Sales" numFmtId="171">
      <sharedItems containsSemiMixedTypes="0" containsString="0" containsNumber="1" containsInteger="1" minValue="100" maxValue="3970"/>
    </cacheField>
    <cacheField name="Mar Sales" numFmtId="171">
      <sharedItems containsSemiMixedTypes="0" containsString="0" containsNumber="1" containsInteger="1" minValue="110" maxValue="4390"/>
    </cacheField>
    <cacheField name="Total" numFmtId="171">
      <sharedItems containsSemiMixedTypes="0" containsString="0" containsNumber="1" containsInteger="1" minValue="290" maxValue="11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172.870410763891" createdVersion="8" refreshedVersion="8" minRefreshableVersion="3" recordCount="9" xr:uid="{23BA4933-5CF6-4DD9-A51C-E3D102714329}">
  <cacheSource type="worksheet">
    <worksheetSource ref="A1:E10" sheet="Data"/>
  </cacheSource>
  <cacheFields count="5">
    <cacheField name="Product" numFmtId="0">
      <sharedItems count="9">
        <s v="Laptop"/>
        <s v="Smartphone"/>
        <s v="Headphones"/>
        <s v="Desk Chair"/>
        <s v="Coffee Maker"/>
        <s v="Blender"/>
        <s v="T-Shirt"/>
        <s v="Jeans"/>
        <s v="Sneakers"/>
      </sharedItems>
    </cacheField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171">
      <sharedItems containsSemiMixedTypes="0" containsString="0" containsNumber="1" containsInteger="1" minValue="80" maxValue="1200"/>
    </cacheField>
    <cacheField name="Feb Sales" numFmtId="171">
      <sharedItems containsSemiMixedTypes="0" containsString="0" containsNumber="1" containsInteger="1" minValue="100" maxValue="1400"/>
    </cacheField>
    <cacheField name="Mar Sales" numFmtId="171">
      <sharedItems containsSemiMixedTypes="0" containsString="0" containsNumber="1" containsInteger="1" minValue="110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abboud" refreshedDate="46174.959925925927" createdVersion="8" refreshedVersion="8" minRefreshableVersion="3" recordCount="9" xr:uid="{14B6AF71-4598-46BA-9F9F-7AA5B13EC2C3}">
  <cacheSource type="worksheet">
    <worksheetSource ref="B1:E10" sheet="Data"/>
  </cacheSource>
  <cacheFields count="4">
    <cacheField name="Category" numFmtId="0">
      <sharedItems count="5">
        <s v="Electronics"/>
        <s v="Furniture"/>
        <s v="Appliances"/>
        <s v="Clothing"/>
        <s v="Footware"/>
      </sharedItems>
    </cacheField>
    <cacheField name="Jan Sales" numFmtId="171">
      <sharedItems containsSemiMixedTypes="0" containsString="0" containsNumber="1" containsInteger="1" minValue="80" maxValue="1200"/>
    </cacheField>
    <cacheField name="Feb Sales" numFmtId="171">
      <sharedItems containsSemiMixedTypes="0" containsString="0" containsNumber="1" containsInteger="1" minValue="100" maxValue="1400"/>
    </cacheField>
    <cacheField name="Mar Sales" numFmtId="171">
      <sharedItems containsSemiMixedTypes="0" containsString="0" containsNumber="1" containsInteger="1" minValue="110" maxValue="1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200"/>
    <n v="1400"/>
    <n v="1350"/>
    <n v="3950"/>
  </r>
  <r>
    <x v="1"/>
    <x v="0"/>
    <n v="800"/>
    <n v="950"/>
    <n v="1100"/>
    <n v="2850"/>
  </r>
  <r>
    <x v="2"/>
    <x v="0"/>
    <n v="150"/>
    <n v="200"/>
    <n v="250"/>
    <n v="600"/>
  </r>
  <r>
    <x v="3"/>
    <x v="1"/>
    <n v="350"/>
    <n v="300"/>
    <n v="400"/>
    <n v="1050"/>
  </r>
  <r>
    <x v="4"/>
    <x v="2"/>
    <n v="120"/>
    <n v="140"/>
    <n v="160"/>
    <n v="420"/>
  </r>
  <r>
    <x v="5"/>
    <x v="2"/>
    <n v="80"/>
    <n v="100"/>
    <n v="110"/>
    <n v="290"/>
  </r>
  <r>
    <x v="6"/>
    <x v="3"/>
    <n v="200"/>
    <n v="250"/>
    <n v="300"/>
    <n v="750"/>
  </r>
  <r>
    <x v="7"/>
    <x v="3"/>
    <n v="300"/>
    <n v="350"/>
    <n v="400"/>
    <n v="1050"/>
  </r>
  <r>
    <x v="8"/>
    <x v="4"/>
    <n v="250"/>
    <n v="280"/>
    <n v="320"/>
    <n v="8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offee Maker"/>
    <n v="120"/>
    <n v="140"/>
    <n v="160"/>
  </r>
  <r>
    <s v="Desk Chair"/>
    <n v="350"/>
    <n v="300"/>
    <n v="400"/>
  </r>
  <r>
    <s v="Headphones"/>
    <n v="150"/>
    <n v="200"/>
    <n v="250"/>
  </r>
  <r>
    <s v="Jeans"/>
    <n v="300"/>
    <n v="350"/>
    <n v="400"/>
  </r>
  <r>
    <s v="Laptop"/>
    <n v="1200"/>
    <n v="1400"/>
    <n v="1350"/>
  </r>
  <r>
    <s v="Smartphone"/>
    <n v="800"/>
    <n v="950"/>
    <n v="1100"/>
  </r>
  <r>
    <s v="Sneakers"/>
    <n v="250"/>
    <n v="280"/>
    <n v="320"/>
  </r>
  <r>
    <s v="T-Shirt"/>
    <n v="200"/>
    <n v="250"/>
    <n v="300"/>
  </r>
  <r>
    <s v="Grand Total"/>
    <n v="3450"/>
    <n v="3970"/>
    <n v="43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200"/>
    <n v="1400"/>
    <n v="1350"/>
    <n v="3950"/>
  </r>
  <r>
    <x v="1"/>
    <x v="0"/>
    <n v="800"/>
    <n v="950"/>
    <n v="1100"/>
    <n v="2850"/>
  </r>
  <r>
    <x v="2"/>
    <x v="0"/>
    <n v="150"/>
    <n v="200"/>
    <n v="250"/>
    <n v="600"/>
  </r>
  <r>
    <x v="3"/>
    <x v="1"/>
    <n v="350"/>
    <n v="300"/>
    <n v="400"/>
    <n v="1050"/>
  </r>
  <r>
    <x v="4"/>
    <x v="2"/>
    <n v="120"/>
    <n v="140"/>
    <n v="160"/>
    <n v="420"/>
  </r>
  <r>
    <x v="5"/>
    <x v="2"/>
    <n v="80"/>
    <n v="100"/>
    <n v="110"/>
    <n v="290"/>
  </r>
  <r>
    <x v="6"/>
    <x v="3"/>
    <n v="200"/>
    <n v="250"/>
    <n v="300"/>
    <n v="750"/>
  </r>
  <r>
    <x v="7"/>
    <x v="3"/>
    <n v="300"/>
    <n v="350"/>
    <n v="400"/>
    <n v="1050"/>
  </r>
  <r>
    <x v="8"/>
    <x v="4"/>
    <n v="250"/>
    <n v="280"/>
    <n v="320"/>
    <n v="850"/>
  </r>
  <r>
    <x v="9"/>
    <x v="5"/>
    <n v="3450"/>
    <n v="3970"/>
    <n v="4390"/>
    <n v="118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200"/>
    <n v="1400"/>
    <n v="1350"/>
  </r>
  <r>
    <x v="1"/>
    <x v="0"/>
    <n v="800"/>
    <n v="950"/>
    <n v="1100"/>
  </r>
  <r>
    <x v="2"/>
    <x v="0"/>
    <n v="150"/>
    <n v="200"/>
    <n v="250"/>
  </r>
  <r>
    <x v="3"/>
    <x v="1"/>
    <n v="350"/>
    <n v="300"/>
    <n v="400"/>
  </r>
  <r>
    <x v="4"/>
    <x v="2"/>
    <n v="120"/>
    <n v="140"/>
    <n v="160"/>
  </r>
  <r>
    <x v="5"/>
    <x v="2"/>
    <n v="80"/>
    <n v="100"/>
    <n v="110"/>
  </r>
  <r>
    <x v="6"/>
    <x v="3"/>
    <n v="200"/>
    <n v="250"/>
    <n v="300"/>
  </r>
  <r>
    <x v="7"/>
    <x v="3"/>
    <n v="300"/>
    <n v="350"/>
    <n v="400"/>
  </r>
  <r>
    <x v="8"/>
    <x v="4"/>
    <n v="250"/>
    <n v="280"/>
    <n v="3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200"/>
    <n v="1400"/>
    <n v="1350"/>
  </r>
  <r>
    <x v="0"/>
    <n v="800"/>
    <n v="950"/>
    <n v="1100"/>
  </r>
  <r>
    <x v="0"/>
    <n v="150"/>
    <n v="200"/>
    <n v="250"/>
  </r>
  <r>
    <x v="1"/>
    <n v="350"/>
    <n v="300"/>
    <n v="400"/>
  </r>
  <r>
    <x v="2"/>
    <n v="120"/>
    <n v="140"/>
    <n v="160"/>
  </r>
  <r>
    <x v="2"/>
    <n v="80"/>
    <n v="100"/>
    <n v="110"/>
  </r>
  <r>
    <x v="3"/>
    <n v="200"/>
    <n v="250"/>
    <n v="300"/>
  </r>
  <r>
    <x v="3"/>
    <n v="300"/>
    <n v="350"/>
    <n v="400"/>
  </r>
  <r>
    <x v="4"/>
    <n v="250"/>
    <n v="280"/>
    <n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FEF5E-BC08-42D7-99FD-A009C13476FD}" name="PivotTable2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19:AB36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D4597-DAE5-4D7B-9C67-0DAFAD7D554B}" name="pvt summary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6">
    <pivotField dataField="1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  <pivotField dataField="1" numFmtId="171" showAll="0"/>
    <pivotField dataField="1" numFmtId="171" showAll="0"/>
    <pivotField dataField="1" numFmtId="171" showAll="0"/>
    <pivotField dataField="1" numFmtId="17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roduct" fld="0" subtotal="count" baseField="0" baseItem="0"/>
    <dataField name="Sum of Jan Sales" fld="2" baseField="0" baseItem="0" numFmtId="171"/>
    <dataField name="Sum of Feb Sales" fld="3" baseField="0" baseItem="0" numFmtId="171"/>
    <dataField name="Sum of Mar Sales" fld="4" baseField="0" baseItem="0" numFmtId="171"/>
    <dataField name="Sum of Total" fld="5" baseField="0" baseItem="0" numFmtId="171"/>
  </dataFields>
  <formats count="4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2595E-2276-4B36-8FD0-6147D490F7BA}" name="PivotTable24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9" firstHeaderRow="0" firstDataRow="1" firstDataCol="1"/>
  <pivotFields count="4">
    <pivotField axis="axisRow" showAll="0">
      <items count="6">
        <item x="2"/>
        <item x="3"/>
        <item x="0"/>
        <item x="4"/>
        <item x="1"/>
        <item t="default"/>
      </items>
    </pivotField>
    <pivotField dataField="1" numFmtId="171" showAll="0"/>
    <pivotField dataField="1" numFmtId="171" showAll="0"/>
    <pivotField dataField="1" numFmtId="17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1" baseField="0" baseItem="0"/>
    <dataField name="Sum of Feb Sales" fld="2" baseField="0" baseItem="0"/>
    <dataField name="Sum of Mar Sales" fld="3" baseField="0" baseItem="0"/>
  </dataField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7B385-1829-481F-9819-3F9A572EAB7C}" name="PivotTable23" cacheId="4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A3:E9" firstHeaderRow="0" firstDataRow="1" firstDataCol="1"/>
  <pivotFields count="6">
    <pivotField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axis="axisRow" showAll="0">
      <items count="6">
        <item x="2"/>
        <item x="3"/>
        <item x="0"/>
        <item x="4"/>
        <item x="1"/>
        <item t="default"/>
      </items>
    </pivotField>
    <pivotField dataField="1" numFmtId="171" showAll="0"/>
    <pivotField dataField="1" numFmtId="171" showAll="0"/>
    <pivotField dataField="1" numFmtId="171" showAll="0"/>
    <pivotField dataField="1" numFmtId="17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Jan Sales" fld="2" baseField="0" baseItem="0"/>
    <dataField name="Sum of Feb Sales" fld="3" baseField="0" baseItem="0"/>
    <dataField name="Sum of Mar Sales" fld="4" baseField="0" baseItem="0"/>
    <dataField name="Sum of Total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A77D1-03FE-4ABB-9A08-1CCB00A5CE10}" name="PivotTable1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1" firstDataRow="2" firstDataCol="1"/>
  <pivotFields count="6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axis="axisCol" showAll="0">
      <items count="6">
        <item x="2"/>
        <item x="3"/>
        <item x="0"/>
        <item x="4"/>
        <item x="1"/>
        <item t="default"/>
      </items>
    </pivotField>
    <pivotField numFmtId="171" showAll="0"/>
    <pivotField numFmtId="171" showAll="0"/>
    <pivotField numFmtId="171" showAll="0"/>
    <pivotField dataField="1" numFmtId="17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mary" fld="5" baseField="0" baseItem="0" numFmtId="171"/>
  </dataFields>
  <formats count="2">
    <format dxfId="13">
      <pivotArea grandRow="1" grandCol="1" outline="0" collapsedLevelsAreSubtotals="1" fieldPosition="0"/>
    </format>
    <format dxfId="1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605EB-1393-4750-A14A-BB3F2576F5C4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13" firstHeaderRow="0" firstDataRow="1" firstDataCol="1"/>
  <pivotFields count="5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/>
    <pivotField dataField="1" numFmtId="171" showAll="0"/>
    <pivotField dataField="1" numFmtId="171" showAll="0"/>
    <pivotField dataField="1" numFmtId="17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3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68FFF-0797-4130-8AD5-34688D12199F}" name="PivotTable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9" firstHeaderRow="0" firstDataRow="1" firstDataCol="1"/>
  <pivotFields count="5"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dataField="1" numFmtId="171" showAll="0"/>
    <pivotField dataField="1" numFmtId="171" showAll="0"/>
    <pivotField dataField="1" numFmtId="17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D633B-111C-4FB8-A491-329EC7199D90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3" firstHeaderRow="0" firstDataRow="1" firstDataCol="1"/>
  <pivotFields count="6">
    <pivotField axis="axisRow" showAll="0">
      <items count="10">
        <item x="5"/>
        <item x="4"/>
        <item x="3"/>
        <item x="2"/>
        <item x="7"/>
        <item x="0"/>
        <item x="1"/>
        <item x="8"/>
        <item x="6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  <pivotField dataField="1" numFmtId="171" showAll="0"/>
    <pivotField dataField="1" numFmtId="171" showAll="0"/>
    <pivotField dataField="1" numFmtId="171" showAll="0"/>
    <pivotField numFmtId="17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D4FBE-97EA-42D2-ABFE-38B9A2A448E3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H35" firstHeaderRow="1" firstDataRow="1" firstDataCol="0"/>
  <pivotFields count="4">
    <pivotField showAll="0"/>
    <pivotField showAll="0"/>
    <pivotField showAll="0"/>
    <pivotField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EE4E1-3635-4566-9123-75B8F3CB49E9}" name="PivotTable1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6">
    <pivotField axis="axisRow" showAll="0">
      <items count="11">
        <item x="5"/>
        <item x="4"/>
        <item x="3"/>
        <item x="2"/>
        <item x="7"/>
        <item x="0"/>
        <item x="1"/>
        <item x="8"/>
        <item x="9"/>
        <item x="6"/>
        <item t="default"/>
      </items>
    </pivotField>
    <pivotField showAll="0">
      <items count="7">
        <item x="2"/>
        <item x="3"/>
        <item x="0"/>
        <item x="4"/>
        <item x="1"/>
        <item x="5"/>
        <item t="default"/>
      </items>
    </pivotField>
    <pivotField dataField="1" numFmtId="171" showAll="0"/>
    <pivotField dataField="1" numFmtId="171" showAll="0"/>
    <pivotField dataField="1" numFmtId="171" showAll="0"/>
    <pivotField numFmtId="17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 Sales" fld="2" baseField="0" baseItem="0"/>
    <dataField name="Sum of Feb Sales" fld="3" baseField="0" baseItem="0"/>
    <dataField name="Sum of Mar Sale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7AA98-50C6-4481-A62E-BD65A995A324}" name="PivotTable1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6"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numFmtId="171" showAll="0"/>
    <pivotField numFmtId="171" showAll="0"/>
    <pivotField numFmtId="171" showAll="0"/>
    <pivotField dataField="1" numFmtId="17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5" baseField="0" baseItem="0" numFmtId="171"/>
  </dataFields>
  <formats count="1">
    <format dxfId="12">
      <pivotArea outline="0" collapsedLevelsAreSubtotals="1" fieldPosition="0"/>
    </format>
  </format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D21" sqref="D21"/>
    </sheetView>
  </sheetViews>
  <sheetFormatPr defaultRowHeight="14.5" x14ac:dyDescent="0.35"/>
  <cols>
    <col min="1" max="1" width="12.36328125" bestFit="1" customWidth="1"/>
    <col min="2" max="2" width="12" bestFit="1" customWidth="1"/>
    <col min="3" max="3" width="19" customWidth="1"/>
    <col min="4" max="4" width="16" bestFit="1" customWidth="1"/>
    <col min="5" max="5" width="20" customWidth="1"/>
    <col min="6" max="6" width="11.1796875" bestFit="1" customWidth="1"/>
    <col min="10" max="10" width="57.90625" customWidth="1"/>
  </cols>
  <sheetData>
    <row r="1" spans="1:10" ht="16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</row>
    <row r="2" spans="1:10" x14ac:dyDescent="0.35">
      <c r="A2" s="13" t="s">
        <v>6</v>
      </c>
      <c r="B2" s="13" t="s">
        <v>7</v>
      </c>
      <c r="C2" s="7">
        <v>1200</v>
      </c>
      <c r="D2" s="7">
        <v>1400</v>
      </c>
      <c r="E2" s="7">
        <v>1350</v>
      </c>
      <c r="F2" s="7">
        <f>SUM(C2:E2)</f>
        <v>3950</v>
      </c>
    </row>
    <row r="3" spans="1:10" x14ac:dyDescent="0.35">
      <c r="A3" s="13" t="s">
        <v>8</v>
      </c>
      <c r="B3" s="13" t="s">
        <v>7</v>
      </c>
      <c r="C3" s="7">
        <v>800</v>
      </c>
      <c r="D3" s="7">
        <v>950</v>
      </c>
      <c r="E3" s="7">
        <v>1100</v>
      </c>
      <c r="F3" s="7">
        <f t="shared" ref="F3:F10" si="0">SUM(C3:E3)</f>
        <v>2850</v>
      </c>
    </row>
    <row r="4" spans="1:10" x14ac:dyDescent="0.35">
      <c r="A4" s="13" t="s">
        <v>9</v>
      </c>
      <c r="B4" s="13" t="s">
        <v>7</v>
      </c>
      <c r="C4" s="7">
        <v>150</v>
      </c>
      <c r="D4" s="7">
        <v>200</v>
      </c>
      <c r="E4" s="7">
        <v>250</v>
      </c>
      <c r="F4" s="7">
        <f t="shared" si="0"/>
        <v>600</v>
      </c>
    </row>
    <row r="5" spans="1:10" x14ac:dyDescent="0.35">
      <c r="A5" s="13" t="s">
        <v>10</v>
      </c>
      <c r="B5" s="13" t="s">
        <v>11</v>
      </c>
      <c r="C5" s="7">
        <v>350</v>
      </c>
      <c r="D5" s="7">
        <v>300</v>
      </c>
      <c r="E5" s="7">
        <v>400</v>
      </c>
      <c r="F5" s="7">
        <f t="shared" si="0"/>
        <v>1050</v>
      </c>
    </row>
    <row r="6" spans="1:10" x14ac:dyDescent="0.35">
      <c r="A6" s="13" t="s">
        <v>12</v>
      </c>
      <c r="B6" s="13" t="s">
        <v>13</v>
      </c>
      <c r="C6" s="7">
        <v>120</v>
      </c>
      <c r="D6" s="7">
        <v>140</v>
      </c>
      <c r="E6" s="7">
        <v>160</v>
      </c>
      <c r="F6" s="7">
        <f t="shared" si="0"/>
        <v>420</v>
      </c>
      <c r="J6" s="4"/>
    </row>
    <row r="7" spans="1:10" x14ac:dyDescent="0.35">
      <c r="A7" s="13" t="s">
        <v>14</v>
      </c>
      <c r="B7" s="13" t="s">
        <v>13</v>
      </c>
      <c r="C7" s="7">
        <v>80</v>
      </c>
      <c r="D7" s="7">
        <v>100</v>
      </c>
      <c r="E7" s="7">
        <v>110</v>
      </c>
      <c r="F7" s="7">
        <f t="shared" si="0"/>
        <v>290</v>
      </c>
    </row>
    <row r="8" spans="1:10" x14ac:dyDescent="0.35">
      <c r="A8" s="13" t="s">
        <v>15</v>
      </c>
      <c r="B8" s="13" t="s">
        <v>16</v>
      </c>
      <c r="C8" s="7">
        <v>200</v>
      </c>
      <c r="D8" s="7">
        <v>250</v>
      </c>
      <c r="E8" s="7">
        <v>300</v>
      </c>
      <c r="F8" s="7">
        <f t="shared" si="0"/>
        <v>750</v>
      </c>
    </row>
    <row r="9" spans="1:10" x14ac:dyDescent="0.35">
      <c r="A9" s="13" t="s">
        <v>17</v>
      </c>
      <c r="B9" s="13" t="s">
        <v>16</v>
      </c>
      <c r="C9" s="7">
        <v>300</v>
      </c>
      <c r="D9" s="7">
        <v>350</v>
      </c>
      <c r="E9" s="7">
        <v>400</v>
      </c>
      <c r="F9" s="7">
        <f t="shared" si="0"/>
        <v>1050</v>
      </c>
    </row>
    <row r="10" spans="1:10" x14ac:dyDescent="0.35">
      <c r="A10" s="13" t="s">
        <v>18</v>
      </c>
      <c r="B10" s="13" t="s">
        <v>19</v>
      </c>
      <c r="C10" s="7">
        <v>250</v>
      </c>
      <c r="D10" s="7">
        <v>280</v>
      </c>
      <c r="E10" s="7">
        <v>320</v>
      </c>
      <c r="F10" s="7">
        <f t="shared" si="0"/>
        <v>850</v>
      </c>
    </row>
    <row r="11" spans="1:10" x14ac:dyDescent="0.35">
      <c r="A11" s="3" t="s">
        <v>25</v>
      </c>
      <c r="B11" s="3"/>
      <c r="C11" s="8">
        <f>SUM(C2:C10)</f>
        <v>3450</v>
      </c>
      <c r="D11" s="8">
        <f t="shared" ref="D11:F11" si="1">SUM(D2:D10)</f>
        <v>3970</v>
      </c>
      <c r="E11" s="8">
        <f t="shared" si="1"/>
        <v>4390</v>
      </c>
      <c r="F11" s="9">
        <f t="shared" si="1"/>
        <v>11810</v>
      </c>
    </row>
    <row r="14" spans="1:10" ht="23" x14ac:dyDescent="0.55000000000000004">
      <c r="C14" s="15" t="s">
        <v>21</v>
      </c>
    </row>
    <row r="15" spans="1:10" ht="16" x14ac:dyDescent="0.4">
      <c r="A15" s="16" t="s">
        <v>22</v>
      </c>
      <c r="B15" s="16" t="s">
        <v>26</v>
      </c>
      <c r="C15" s="16"/>
      <c r="D15" s="18">
        <f>SUM(C2:E10)</f>
        <v>11810</v>
      </c>
    </row>
    <row r="16" spans="1:10" ht="16" x14ac:dyDescent="0.4">
      <c r="A16" s="16" t="s">
        <v>28</v>
      </c>
      <c r="B16" s="16"/>
      <c r="C16" s="17"/>
      <c r="D16" s="18">
        <f>MAX(C2:E10)</f>
        <v>1400</v>
      </c>
      <c r="E16" s="5"/>
      <c r="F16" s="6"/>
    </row>
    <row r="17" spans="1:10" ht="16" x14ac:dyDescent="0.4">
      <c r="A17" s="16" t="s">
        <v>23</v>
      </c>
      <c r="B17" s="16" t="s">
        <v>27</v>
      </c>
      <c r="C17" s="17"/>
      <c r="D17" s="18">
        <f>MIN(C2:E10)</f>
        <v>80</v>
      </c>
    </row>
    <row r="18" spans="1:10" ht="16.5" customHeight="1" x14ac:dyDescent="0.4">
      <c r="A18" s="16" t="s">
        <v>24</v>
      </c>
      <c r="B18" s="19"/>
      <c r="C18" s="16"/>
      <c r="D18" s="18" cm="1">
        <f t="array" ref="D18">MAX(_xlfn._xlws.FILTER(C2:E10,B2:B10="ELECTRONICS"))</f>
        <v>1400</v>
      </c>
      <c r="E18" s="1"/>
    </row>
    <row r="19" spans="1:10" ht="17.25" customHeight="1" x14ac:dyDescent="0.4">
      <c r="A19" s="16" t="s">
        <v>20</v>
      </c>
      <c r="B19" s="17"/>
      <c r="C19" s="17"/>
      <c r="D19" s="17">
        <f>COUNTA(A2:A10)</f>
        <v>9</v>
      </c>
      <c r="J19" cm="1">
        <f t="array" ref="J19">MAX(_xlfn._xlws.FILTER(C2:E10,B2:B10="Electronics"))</f>
        <v>1400</v>
      </c>
    </row>
    <row r="20" spans="1:10" ht="16" x14ac:dyDescent="0.4">
      <c r="A20" s="16" t="s">
        <v>46</v>
      </c>
      <c r="B20" s="17"/>
      <c r="C20" s="17"/>
      <c r="D20" s="18" cm="1">
        <f t="array" ref="D20">MAX(_xlfn._xlws.FILTER(C2:E10,B2:B10="Appliances"))</f>
        <v>160</v>
      </c>
    </row>
    <row r="21" spans="1:10" ht="18.75" customHeight="1" x14ac:dyDescent="0.4">
      <c r="A21" s="16" t="s">
        <v>47</v>
      </c>
      <c r="B21" s="16"/>
      <c r="C21" s="16"/>
      <c r="D21" s="18" cm="1">
        <f t="array" ref="D21">MAX(_xlfn._xlws.FILTER(C2:E10,B2:B10="Clothing"))</f>
        <v>400</v>
      </c>
    </row>
    <row r="22" spans="1:10" x14ac:dyDescent="0.35">
      <c r="B22" s="2"/>
    </row>
    <row r="23" spans="1:10" x14ac:dyDescent="0.35">
      <c r="B23" s="2"/>
    </row>
    <row r="25" spans="1:10" ht="20.25" customHeight="1" x14ac:dyDescent="0.35"/>
    <row r="26" spans="1:10" ht="17.25" customHeight="1" x14ac:dyDescent="0.35"/>
    <row r="29" spans="1:10" ht="19.5" customHeight="1" x14ac:dyDescent="0.35"/>
    <row r="38" ht="19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4664-4767-4818-8E58-77E9CF3BF41C}">
  <dimension ref="R7:AB36"/>
  <sheetViews>
    <sheetView tabSelected="1" zoomScale="94" zoomScaleNormal="100" workbookViewId="0">
      <selection activeCell="AB7" sqref="AB7"/>
    </sheetView>
  </sheetViews>
  <sheetFormatPr defaultRowHeight="14.5" x14ac:dyDescent="0.35"/>
  <cols>
    <col min="7" max="7" width="12.6328125" customWidth="1"/>
    <col min="8" max="8" width="13.54296875" customWidth="1"/>
    <col min="9" max="9" width="14.36328125" customWidth="1"/>
    <col min="10" max="10" width="16.7265625" customWidth="1"/>
    <col min="17" max="21" width="8.7265625" customWidth="1"/>
    <col min="23" max="23" width="16.1796875" customWidth="1"/>
    <col min="24" max="24" width="31.7265625" customWidth="1"/>
    <col min="25" max="25" width="40.90625" customWidth="1"/>
  </cols>
  <sheetData>
    <row r="7" spans="18:18" x14ac:dyDescent="0.35">
      <c r="R7" t="e" cm="1">
        <f t="array" ref="R7">summary!G17=max</f>
        <v>#NAME?</v>
      </c>
    </row>
    <row r="19" spans="26:28" x14ac:dyDescent="0.35">
      <c r="Z19" s="20"/>
      <c r="AA19" s="21"/>
      <c r="AB19" s="22"/>
    </row>
    <row r="20" spans="26:28" x14ac:dyDescent="0.35">
      <c r="Z20" s="23"/>
      <c r="AA20" s="24"/>
      <c r="AB20" s="25"/>
    </row>
    <row r="21" spans="26:28" x14ac:dyDescent="0.35">
      <c r="Z21" s="23"/>
      <c r="AA21" s="24"/>
      <c r="AB21" s="25"/>
    </row>
    <row r="22" spans="26:28" x14ac:dyDescent="0.35">
      <c r="Z22" s="23"/>
      <c r="AA22" s="24"/>
      <c r="AB22" s="25"/>
    </row>
    <row r="23" spans="26:28" x14ac:dyDescent="0.35">
      <c r="Z23" s="23"/>
      <c r="AA23" s="24"/>
      <c r="AB23" s="25"/>
    </row>
    <row r="24" spans="26:28" x14ac:dyDescent="0.35">
      <c r="Z24" s="23"/>
      <c r="AA24" s="24"/>
      <c r="AB24" s="25"/>
    </row>
    <row r="25" spans="26:28" x14ac:dyDescent="0.35">
      <c r="Z25" s="23"/>
      <c r="AA25" s="24"/>
      <c r="AB25" s="25"/>
    </row>
    <row r="26" spans="26:28" x14ac:dyDescent="0.35">
      <c r="Z26" s="23"/>
      <c r="AA26" s="24"/>
      <c r="AB26" s="25"/>
    </row>
    <row r="27" spans="26:28" x14ac:dyDescent="0.35">
      <c r="Z27" s="23"/>
      <c r="AA27" s="24"/>
      <c r="AB27" s="25"/>
    </row>
    <row r="28" spans="26:28" x14ac:dyDescent="0.35">
      <c r="Z28" s="23"/>
      <c r="AA28" s="24"/>
      <c r="AB28" s="25"/>
    </row>
    <row r="29" spans="26:28" x14ac:dyDescent="0.35">
      <c r="Z29" s="23"/>
      <c r="AA29" s="24"/>
      <c r="AB29" s="25"/>
    </row>
    <row r="30" spans="26:28" x14ac:dyDescent="0.35">
      <c r="Z30" s="23"/>
      <c r="AA30" s="24"/>
      <c r="AB30" s="25"/>
    </row>
    <row r="31" spans="26:28" x14ac:dyDescent="0.35">
      <c r="Z31" s="23"/>
      <c r="AA31" s="24"/>
      <c r="AB31" s="25"/>
    </row>
    <row r="32" spans="26:28" x14ac:dyDescent="0.35">
      <c r="Z32" s="23"/>
      <c r="AA32" s="24"/>
      <c r="AB32" s="25"/>
    </row>
    <row r="33" spans="26:28" x14ac:dyDescent="0.35">
      <c r="Z33" s="23"/>
      <c r="AA33" s="24"/>
      <c r="AB33" s="25"/>
    </row>
    <row r="34" spans="26:28" x14ac:dyDescent="0.35">
      <c r="Z34" s="23"/>
      <c r="AA34" s="24"/>
      <c r="AB34" s="25"/>
    </row>
    <row r="35" spans="26:28" x14ac:dyDescent="0.35">
      <c r="Z35" s="23"/>
      <c r="AA35" s="24"/>
      <c r="AB35" s="25"/>
    </row>
    <row r="36" spans="26:28" x14ac:dyDescent="0.35">
      <c r="Z36" s="26"/>
      <c r="AA36" s="27"/>
      <c r="AB36" s="28"/>
    </row>
  </sheetData>
  <conditionalFormatting sqref="Z9">
    <cfRule type="colorScale" priority="5">
      <colorScale>
        <cfvo type="min"/>
        <cfvo type="max"/>
        <color rgb="FFF8696B"/>
        <color rgb="FFFCFCFF"/>
      </colorScale>
    </cfRule>
  </conditionalFormatting>
  <conditionalFormatting sqref="Z9:AD1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AD9 Z10:Z1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Z19">
    <cfRule type="colorScale" priority="2">
      <colorScale>
        <cfvo type="min"/>
        <cfvo type="max"/>
        <color rgb="FFF8696B"/>
        <color rgb="FFFCFCFF"/>
      </colorScale>
    </cfRule>
  </conditionalFormatting>
  <conditionalFormatting sqref="Z19:AD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9:AD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0507-FB32-4F69-9DD6-3AD6CE2982E6}">
  <dimension ref="A3:E4"/>
  <sheetViews>
    <sheetView workbookViewId="0">
      <selection activeCell="E4" sqref="E4"/>
    </sheetView>
  </sheetViews>
  <sheetFormatPr defaultRowHeight="14.5" x14ac:dyDescent="0.35"/>
  <cols>
    <col min="1" max="1" width="14.90625" bestFit="1" customWidth="1"/>
    <col min="2" max="2" width="14.7265625" bestFit="1" customWidth="1"/>
    <col min="3" max="4" width="15.08984375" bestFit="1" customWidth="1"/>
    <col min="5" max="6" width="11.08984375" bestFit="1" customWidth="1"/>
  </cols>
  <sheetData>
    <row r="3" spans="1:5" x14ac:dyDescent="0.35">
      <c r="A3" t="s">
        <v>36</v>
      </c>
      <c r="B3" t="s">
        <v>31</v>
      </c>
      <c r="C3" t="s">
        <v>32</v>
      </c>
      <c r="D3" t="s">
        <v>33</v>
      </c>
      <c r="E3" t="s">
        <v>35</v>
      </c>
    </row>
    <row r="4" spans="1:5" x14ac:dyDescent="0.35">
      <c r="A4" s="30">
        <v>9</v>
      </c>
      <c r="B4" s="14">
        <v>3450</v>
      </c>
      <c r="C4" s="14">
        <v>3970</v>
      </c>
      <c r="D4" s="14">
        <v>4390</v>
      </c>
      <c r="E4" s="14">
        <v>11810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C353-7181-421A-BCC6-201B1E11D307}">
  <dimension ref="A3:D9"/>
  <sheetViews>
    <sheetView workbookViewId="0">
      <selection activeCell="H25" sqref="H25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4" width="15.08984375" bestFit="1" customWidth="1"/>
  </cols>
  <sheetData>
    <row r="3" spans="1:4" x14ac:dyDescent="0.35">
      <c r="A3" s="29" t="s">
        <v>29</v>
      </c>
      <c r="B3" t="s">
        <v>31</v>
      </c>
      <c r="C3" t="s">
        <v>32</v>
      </c>
      <c r="D3" t="s">
        <v>33</v>
      </c>
    </row>
    <row r="4" spans="1:4" x14ac:dyDescent="0.35">
      <c r="A4" s="6" t="s">
        <v>13</v>
      </c>
      <c r="B4" s="30">
        <v>200</v>
      </c>
      <c r="C4" s="30">
        <v>240</v>
      </c>
      <c r="D4" s="30">
        <v>270</v>
      </c>
    </row>
    <row r="5" spans="1:4" x14ac:dyDescent="0.35">
      <c r="A5" s="6" t="s">
        <v>16</v>
      </c>
      <c r="B5" s="30">
        <v>500</v>
      </c>
      <c r="C5" s="30">
        <v>600</v>
      </c>
      <c r="D5" s="30">
        <v>700</v>
      </c>
    </row>
    <row r="6" spans="1:4" x14ac:dyDescent="0.35">
      <c r="A6" s="6" t="s">
        <v>7</v>
      </c>
      <c r="B6" s="30">
        <v>2150</v>
      </c>
      <c r="C6" s="30">
        <v>2550</v>
      </c>
      <c r="D6" s="30">
        <v>2700</v>
      </c>
    </row>
    <row r="7" spans="1:4" x14ac:dyDescent="0.35">
      <c r="A7" s="6" t="s">
        <v>19</v>
      </c>
      <c r="B7" s="30">
        <v>250</v>
      </c>
      <c r="C7" s="30">
        <v>280</v>
      </c>
      <c r="D7" s="30">
        <v>320</v>
      </c>
    </row>
    <row r="8" spans="1:4" x14ac:dyDescent="0.35">
      <c r="A8" s="6" t="s">
        <v>11</v>
      </c>
      <c r="B8" s="30">
        <v>350</v>
      </c>
      <c r="C8" s="30">
        <v>300</v>
      </c>
      <c r="D8" s="30">
        <v>400</v>
      </c>
    </row>
    <row r="9" spans="1:4" x14ac:dyDescent="0.35">
      <c r="A9" s="6" t="s">
        <v>30</v>
      </c>
      <c r="B9" s="30">
        <v>3450</v>
      </c>
      <c r="C9" s="30">
        <v>3970</v>
      </c>
      <c r="D9" s="30">
        <v>4390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CA6A-B872-494F-94BF-D773BB3B69B3}">
  <dimension ref="A3:L13"/>
  <sheetViews>
    <sheetView workbookViewId="0">
      <selection activeCell="F17" sqref="F17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4" width="15.08984375" bestFit="1" customWidth="1"/>
    <col min="5" max="5" width="11.08984375" bestFit="1" customWidth="1"/>
    <col min="9" max="9" width="14.1796875" customWidth="1"/>
    <col min="10" max="10" width="15.36328125" customWidth="1"/>
    <col min="11" max="11" width="13.90625" customWidth="1"/>
  </cols>
  <sheetData>
    <row r="3" spans="1:12" x14ac:dyDescent="0.35">
      <c r="A3" s="29" t="s">
        <v>29</v>
      </c>
      <c r="B3" t="s">
        <v>31</v>
      </c>
      <c r="C3" t="s">
        <v>32</v>
      </c>
      <c r="D3" t="s">
        <v>33</v>
      </c>
      <c r="E3" t="s">
        <v>35</v>
      </c>
    </row>
    <row r="4" spans="1:12" ht="15" thickBot="1" x14ac:dyDescent="0.4">
      <c r="A4" s="6" t="s">
        <v>13</v>
      </c>
      <c r="B4" s="30">
        <v>200</v>
      </c>
      <c r="C4" s="30">
        <v>240</v>
      </c>
      <c r="D4" s="30">
        <v>270</v>
      </c>
      <c r="E4" s="30">
        <v>710</v>
      </c>
    </row>
    <row r="5" spans="1:12" x14ac:dyDescent="0.35">
      <c r="A5" s="6" t="s">
        <v>16</v>
      </c>
      <c r="B5" s="30">
        <v>500</v>
      </c>
      <c r="C5" s="30">
        <v>600</v>
      </c>
      <c r="D5" s="30">
        <v>700</v>
      </c>
      <c r="E5" s="30">
        <v>1800</v>
      </c>
      <c r="I5" s="31" t="s">
        <v>31</v>
      </c>
      <c r="J5" s="31" t="s">
        <v>32</v>
      </c>
      <c r="K5" s="31" t="s">
        <v>33</v>
      </c>
      <c r="L5" s="31"/>
    </row>
    <row r="6" spans="1:12" x14ac:dyDescent="0.35">
      <c r="A6" s="6" t="s">
        <v>7</v>
      </c>
      <c r="B6" s="30">
        <v>2150</v>
      </c>
      <c r="C6" s="30">
        <v>2550</v>
      </c>
      <c r="D6" s="30">
        <v>2700</v>
      </c>
      <c r="E6" s="30">
        <v>7400</v>
      </c>
      <c r="H6" t="s">
        <v>43</v>
      </c>
      <c r="I6" s="33">
        <v>200</v>
      </c>
      <c r="J6" s="33">
        <v>240</v>
      </c>
      <c r="K6" s="33">
        <v>270</v>
      </c>
    </row>
    <row r="7" spans="1:12" x14ac:dyDescent="0.35">
      <c r="A7" s="6" t="s">
        <v>19</v>
      </c>
      <c r="B7" s="30">
        <v>250</v>
      </c>
      <c r="C7" s="30">
        <v>280</v>
      </c>
      <c r="D7" s="30">
        <v>320</v>
      </c>
      <c r="E7" s="30">
        <v>850</v>
      </c>
      <c r="H7" t="s">
        <v>44</v>
      </c>
      <c r="I7" s="33">
        <v>500</v>
      </c>
      <c r="J7" s="33">
        <v>600</v>
      </c>
      <c r="K7" s="33">
        <v>700</v>
      </c>
    </row>
    <row r="8" spans="1:12" x14ac:dyDescent="0.35">
      <c r="A8" s="6" t="s">
        <v>11</v>
      </c>
      <c r="B8" s="30">
        <v>350</v>
      </c>
      <c r="C8" s="30">
        <v>300</v>
      </c>
      <c r="D8" s="30">
        <v>400</v>
      </c>
      <c r="E8" s="30">
        <v>1050</v>
      </c>
      <c r="H8" t="s">
        <v>45</v>
      </c>
      <c r="I8" s="33">
        <v>2150</v>
      </c>
      <c r="J8" s="33">
        <v>2550</v>
      </c>
      <c r="K8" s="33">
        <v>2700</v>
      </c>
    </row>
    <row r="9" spans="1:12" x14ac:dyDescent="0.35">
      <c r="A9" s="6" t="s">
        <v>30</v>
      </c>
      <c r="B9" s="30">
        <v>3450</v>
      </c>
      <c r="C9" s="30">
        <v>3970</v>
      </c>
      <c r="D9" s="30">
        <v>4390</v>
      </c>
      <c r="E9" s="30">
        <v>11810</v>
      </c>
      <c r="H9" t="s">
        <v>19</v>
      </c>
      <c r="I9" s="33">
        <v>250</v>
      </c>
      <c r="J9" s="33">
        <v>280</v>
      </c>
      <c r="K9" s="33">
        <v>320</v>
      </c>
    </row>
    <row r="10" spans="1:12" x14ac:dyDescent="0.35">
      <c r="H10" t="s">
        <v>11</v>
      </c>
      <c r="I10" s="33">
        <v>350</v>
      </c>
      <c r="J10" s="33">
        <v>300</v>
      </c>
      <c r="K10" s="33">
        <v>400</v>
      </c>
    </row>
    <row r="13" spans="1:12" x14ac:dyDescent="0.35">
      <c r="J13" s="12"/>
    </row>
  </sheetData>
  <conditionalFormatting sqref="A3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:E3 A10:E12 A13:D15 A4:A9 A22:E22 A16:B21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:E3 A4:A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 L5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5 I5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K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C3C6-13FA-414D-9E58-667CC8338980}">
  <dimension ref="A3:J14"/>
  <sheetViews>
    <sheetView workbookViewId="0">
      <selection activeCell="C19" sqref="C19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7.90625" bestFit="1" customWidth="1"/>
    <col min="4" max="4" width="10.1796875" bestFit="1" customWidth="1"/>
    <col min="5" max="5" width="8.453125" bestFit="1" customWidth="1"/>
    <col min="6" max="6" width="8.54296875" bestFit="1" customWidth="1"/>
    <col min="7" max="7" width="10.36328125" bestFit="1" customWidth="1"/>
    <col min="9" max="9" width="8.90625" bestFit="1" customWidth="1"/>
  </cols>
  <sheetData>
    <row r="3" spans="1:10" x14ac:dyDescent="0.35">
      <c r="A3" s="29" t="s">
        <v>39</v>
      </c>
      <c r="B3" s="29" t="s">
        <v>34</v>
      </c>
    </row>
    <row r="4" spans="1:10" x14ac:dyDescent="0.35">
      <c r="A4" s="29" t="s">
        <v>29</v>
      </c>
      <c r="B4" t="s">
        <v>13</v>
      </c>
      <c r="C4" t="s">
        <v>16</v>
      </c>
      <c r="D4" t="s">
        <v>7</v>
      </c>
      <c r="E4" t="s">
        <v>19</v>
      </c>
      <c r="F4" t="s">
        <v>11</v>
      </c>
      <c r="G4" t="s">
        <v>30</v>
      </c>
    </row>
    <row r="5" spans="1:10" x14ac:dyDescent="0.35">
      <c r="A5" s="6" t="s">
        <v>14</v>
      </c>
      <c r="B5" s="14">
        <v>290</v>
      </c>
      <c r="C5" s="14"/>
      <c r="D5" s="14"/>
      <c r="E5" s="14"/>
      <c r="F5" s="14"/>
      <c r="G5" s="14">
        <v>290</v>
      </c>
    </row>
    <row r="6" spans="1:10" x14ac:dyDescent="0.35">
      <c r="A6" s="6" t="s">
        <v>12</v>
      </c>
      <c r="B6" s="14">
        <v>420</v>
      </c>
      <c r="C6" s="14"/>
      <c r="D6" s="14"/>
      <c r="E6" s="14"/>
      <c r="F6" s="14"/>
      <c r="G6" s="14">
        <v>420</v>
      </c>
    </row>
    <row r="7" spans="1:10" x14ac:dyDescent="0.35">
      <c r="A7" s="6" t="s">
        <v>10</v>
      </c>
      <c r="B7" s="14"/>
      <c r="C7" s="14"/>
      <c r="D7" s="14"/>
      <c r="E7" s="14"/>
      <c r="F7" s="14">
        <v>1050</v>
      </c>
      <c r="G7" s="14">
        <v>1050</v>
      </c>
    </row>
    <row r="8" spans="1:10" x14ac:dyDescent="0.35">
      <c r="A8" s="6" t="s">
        <v>9</v>
      </c>
      <c r="B8" s="14"/>
      <c r="C8" s="14"/>
      <c r="D8" s="14">
        <v>600</v>
      </c>
      <c r="E8" s="14"/>
      <c r="F8" s="14"/>
      <c r="G8" s="14">
        <v>600</v>
      </c>
    </row>
    <row r="9" spans="1:10" x14ac:dyDescent="0.35">
      <c r="A9" s="6" t="s">
        <v>17</v>
      </c>
      <c r="B9" s="14"/>
      <c r="C9" s="14">
        <v>1050</v>
      </c>
      <c r="D9" s="14"/>
      <c r="E9" s="14"/>
      <c r="F9" s="14"/>
      <c r="G9" s="14">
        <v>1050</v>
      </c>
      <c r="I9" s="32">
        <f>MAX(G5:G13)</f>
        <v>3950</v>
      </c>
      <c r="J9" t="s">
        <v>40</v>
      </c>
    </row>
    <row r="10" spans="1:10" x14ac:dyDescent="0.35">
      <c r="A10" s="6" t="s">
        <v>6</v>
      </c>
      <c r="B10" s="14"/>
      <c r="C10" s="14"/>
      <c r="D10" s="14">
        <v>3950</v>
      </c>
      <c r="E10" s="14"/>
      <c r="F10" s="14"/>
      <c r="G10" s="14">
        <v>3950</v>
      </c>
    </row>
    <row r="11" spans="1:10" x14ac:dyDescent="0.35">
      <c r="A11" s="6" t="s">
        <v>8</v>
      </c>
      <c r="B11" s="14"/>
      <c r="C11" s="14"/>
      <c r="D11" s="14">
        <v>2850</v>
      </c>
      <c r="E11" s="14"/>
      <c r="F11" s="14"/>
      <c r="G11" s="14">
        <v>2850</v>
      </c>
    </row>
    <row r="12" spans="1:10" x14ac:dyDescent="0.35">
      <c r="A12" s="6" t="s">
        <v>18</v>
      </c>
      <c r="B12" s="14"/>
      <c r="C12" s="14"/>
      <c r="D12" s="14"/>
      <c r="E12" s="14">
        <v>850</v>
      </c>
      <c r="F12" s="14"/>
      <c r="G12" s="14">
        <v>850</v>
      </c>
    </row>
    <row r="13" spans="1:10" x14ac:dyDescent="0.35">
      <c r="A13" s="6" t="s">
        <v>15</v>
      </c>
      <c r="B13" s="14"/>
      <c r="C13" s="14">
        <v>750</v>
      </c>
      <c r="D13" s="14"/>
      <c r="E13" s="14"/>
      <c r="F13" s="14"/>
      <c r="G13" s="14">
        <v>750</v>
      </c>
    </row>
    <row r="14" spans="1:10" x14ac:dyDescent="0.35">
      <c r="A14" s="6" t="s">
        <v>30</v>
      </c>
      <c r="B14" s="14">
        <v>710</v>
      </c>
      <c r="C14" s="14">
        <v>1800</v>
      </c>
      <c r="D14" s="14">
        <v>7400</v>
      </c>
      <c r="E14" s="14">
        <v>850</v>
      </c>
      <c r="F14" s="14">
        <v>1050</v>
      </c>
      <c r="G14" s="14">
        <v>11810</v>
      </c>
      <c r="I14" s="32">
        <f>MAX(B14:F14)</f>
        <v>7400</v>
      </c>
      <c r="J14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E07-5C81-4D47-8068-90AC1642D333}">
  <dimension ref="A3:D18"/>
  <sheetViews>
    <sheetView workbookViewId="0">
      <selection activeCell="D7" sqref="D7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4" width="15.08984375" bestFit="1" customWidth="1"/>
  </cols>
  <sheetData>
    <row r="3" spans="1:4" x14ac:dyDescent="0.35">
      <c r="A3" s="29" t="s">
        <v>29</v>
      </c>
      <c r="B3" t="s">
        <v>31</v>
      </c>
      <c r="C3" t="s">
        <v>32</v>
      </c>
      <c r="D3" t="s">
        <v>33</v>
      </c>
    </row>
    <row r="4" spans="1:4" x14ac:dyDescent="0.35">
      <c r="A4" s="6" t="s">
        <v>14</v>
      </c>
      <c r="B4" s="30">
        <v>80</v>
      </c>
      <c r="C4" s="30">
        <v>100</v>
      </c>
      <c r="D4" s="30">
        <v>110</v>
      </c>
    </row>
    <row r="5" spans="1:4" x14ac:dyDescent="0.35">
      <c r="A5" s="6" t="s">
        <v>12</v>
      </c>
      <c r="B5" s="30">
        <v>120</v>
      </c>
      <c r="C5" s="30">
        <v>140</v>
      </c>
      <c r="D5" s="30">
        <v>160</v>
      </c>
    </row>
    <row r="6" spans="1:4" x14ac:dyDescent="0.35">
      <c r="A6" s="6" t="s">
        <v>10</v>
      </c>
      <c r="B6" s="30">
        <v>350</v>
      </c>
      <c r="C6" s="30">
        <v>300</v>
      </c>
      <c r="D6" s="30">
        <v>400</v>
      </c>
    </row>
    <row r="7" spans="1:4" x14ac:dyDescent="0.35">
      <c r="A7" s="6" t="s">
        <v>9</v>
      </c>
      <c r="B7" s="30">
        <v>150</v>
      </c>
      <c r="C7" s="30">
        <v>200</v>
      </c>
      <c r="D7" s="30">
        <v>250</v>
      </c>
    </row>
    <row r="8" spans="1:4" x14ac:dyDescent="0.35">
      <c r="A8" s="6" t="s">
        <v>17</v>
      </c>
      <c r="B8" s="30">
        <v>300</v>
      </c>
      <c r="C8" s="30">
        <v>350</v>
      </c>
      <c r="D8" s="30">
        <v>400</v>
      </c>
    </row>
    <row r="9" spans="1:4" x14ac:dyDescent="0.35">
      <c r="A9" s="6" t="s">
        <v>6</v>
      </c>
      <c r="B9" s="30">
        <v>1200</v>
      </c>
      <c r="C9" s="30">
        <v>1400</v>
      </c>
      <c r="D9" s="30">
        <v>1350</v>
      </c>
    </row>
    <row r="10" spans="1:4" x14ac:dyDescent="0.35">
      <c r="A10" s="6" t="s">
        <v>8</v>
      </c>
      <c r="B10" s="30">
        <v>800</v>
      </c>
      <c r="C10" s="30">
        <v>950</v>
      </c>
      <c r="D10" s="30">
        <v>1100</v>
      </c>
    </row>
    <row r="11" spans="1:4" x14ac:dyDescent="0.35">
      <c r="A11" s="6" t="s">
        <v>18</v>
      </c>
      <c r="B11" s="30">
        <v>250</v>
      </c>
      <c r="C11" s="30">
        <v>280</v>
      </c>
      <c r="D11" s="30">
        <v>320</v>
      </c>
    </row>
    <row r="12" spans="1:4" x14ac:dyDescent="0.35">
      <c r="A12" s="6" t="s">
        <v>15</v>
      </c>
      <c r="B12" s="30">
        <v>200</v>
      </c>
      <c r="C12" s="30">
        <v>250</v>
      </c>
      <c r="D12" s="30">
        <v>300</v>
      </c>
    </row>
    <row r="13" spans="1:4" x14ac:dyDescent="0.35">
      <c r="A13" s="6" t="s">
        <v>30</v>
      </c>
      <c r="B13" s="30">
        <v>3450</v>
      </c>
      <c r="C13" s="30">
        <v>3970</v>
      </c>
      <c r="D13" s="30">
        <v>4390</v>
      </c>
    </row>
    <row r="18" spans="2:2" x14ac:dyDescent="0.35">
      <c r="B18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11E1-CC41-4106-84DB-3BF4BC664CA0}">
  <dimension ref="A2:D9"/>
  <sheetViews>
    <sheetView workbookViewId="0">
      <selection activeCell="C2" sqref="C2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4" width="15.08984375" bestFit="1" customWidth="1"/>
    <col min="5" max="15" width="15.6328125" bestFit="1" customWidth="1"/>
    <col min="16" max="16" width="19.26953125" bestFit="1" customWidth="1"/>
    <col min="17" max="18" width="19.6328125" bestFit="1" customWidth="1"/>
  </cols>
  <sheetData>
    <row r="2" spans="1:4" x14ac:dyDescent="0.35">
      <c r="C2" t="s">
        <v>42</v>
      </c>
    </row>
    <row r="3" spans="1:4" x14ac:dyDescent="0.35">
      <c r="A3" s="29" t="s">
        <v>29</v>
      </c>
      <c r="B3" t="s">
        <v>31</v>
      </c>
      <c r="C3" t="s">
        <v>32</v>
      </c>
      <c r="D3" t="s">
        <v>33</v>
      </c>
    </row>
    <row r="4" spans="1:4" x14ac:dyDescent="0.35">
      <c r="A4" s="6" t="s">
        <v>13</v>
      </c>
      <c r="B4" s="30">
        <v>200</v>
      </c>
      <c r="C4" s="30">
        <v>240</v>
      </c>
      <c r="D4" s="30">
        <v>270</v>
      </c>
    </row>
    <row r="5" spans="1:4" x14ac:dyDescent="0.35">
      <c r="A5" s="6" t="s">
        <v>16</v>
      </c>
      <c r="B5" s="30">
        <v>500</v>
      </c>
      <c r="C5" s="30">
        <v>600</v>
      </c>
      <c r="D5" s="30">
        <v>700</v>
      </c>
    </row>
    <row r="6" spans="1:4" x14ac:dyDescent="0.35">
      <c r="A6" s="6" t="s">
        <v>7</v>
      </c>
      <c r="B6" s="30">
        <v>2150</v>
      </c>
      <c r="C6" s="30">
        <v>2550</v>
      </c>
      <c r="D6" s="30">
        <v>2700</v>
      </c>
    </row>
    <row r="7" spans="1:4" x14ac:dyDescent="0.35">
      <c r="A7" s="6" t="s">
        <v>19</v>
      </c>
      <c r="B7" s="30">
        <v>250</v>
      </c>
      <c r="C7" s="30">
        <v>280</v>
      </c>
      <c r="D7" s="30">
        <v>320</v>
      </c>
    </row>
    <row r="8" spans="1:4" x14ac:dyDescent="0.35">
      <c r="A8" s="6" t="s">
        <v>11</v>
      </c>
      <c r="B8" s="30">
        <v>350</v>
      </c>
      <c r="C8" s="30">
        <v>300</v>
      </c>
      <c r="D8" s="30">
        <v>400</v>
      </c>
    </row>
    <row r="9" spans="1:4" x14ac:dyDescent="0.35">
      <c r="A9" s="6" t="s">
        <v>30</v>
      </c>
      <c r="B9" s="30">
        <v>3450</v>
      </c>
      <c r="C9" s="30">
        <v>3970</v>
      </c>
      <c r="D9" s="30">
        <v>4390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9F3A-D969-4293-A651-B91A7295CC6A}">
  <dimension ref="A3:H35"/>
  <sheetViews>
    <sheetView workbookViewId="0">
      <selection activeCell="H3" sqref="H3"/>
    </sheetView>
  </sheetViews>
  <sheetFormatPr defaultRowHeight="14.5" x14ac:dyDescent="0.35"/>
  <cols>
    <col min="1" max="1" width="12.453125" bestFit="1" customWidth="1"/>
    <col min="2" max="2" width="14.7265625" bestFit="1" customWidth="1"/>
    <col min="3" max="4" width="15.08984375" bestFit="1" customWidth="1"/>
    <col min="5" max="5" width="14.7265625" bestFit="1" customWidth="1"/>
    <col min="6" max="7" width="15.08984375" bestFit="1" customWidth="1"/>
    <col min="8" max="8" width="14.7265625" bestFit="1" customWidth="1"/>
    <col min="9" max="10" width="15.08984375" bestFit="1" customWidth="1"/>
    <col min="11" max="11" width="14.7265625" bestFit="1" customWidth="1"/>
    <col min="12" max="13" width="15.08984375" bestFit="1" customWidth="1"/>
    <col min="14" max="14" width="14.7265625" bestFit="1" customWidth="1"/>
    <col min="15" max="16" width="15.08984375" bestFit="1" customWidth="1"/>
    <col min="17" max="17" width="19.26953125" bestFit="1" customWidth="1"/>
    <col min="18" max="19" width="19.6328125" bestFit="1" customWidth="1"/>
  </cols>
  <sheetData>
    <row r="3" spans="1:4" x14ac:dyDescent="0.35">
      <c r="A3" s="29" t="s">
        <v>29</v>
      </c>
      <c r="B3" t="s">
        <v>31</v>
      </c>
      <c r="C3" t="s">
        <v>32</v>
      </c>
      <c r="D3" t="s">
        <v>33</v>
      </c>
    </row>
    <row r="4" spans="1:4" x14ac:dyDescent="0.35">
      <c r="A4" s="6" t="s">
        <v>14</v>
      </c>
      <c r="B4" s="30">
        <v>80</v>
      </c>
      <c r="C4" s="30">
        <v>100</v>
      </c>
      <c r="D4" s="30">
        <v>110</v>
      </c>
    </row>
    <row r="5" spans="1:4" x14ac:dyDescent="0.35">
      <c r="A5" s="6" t="s">
        <v>12</v>
      </c>
      <c r="B5" s="30">
        <v>120</v>
      </c>
      <c r="C5" s="30">
        <v>140</v>
      </c>
      <c r="D5" s="30">
        <v>160</v>
      </c>
    </row>
    <row r="6" spans="1:4" x14ac:dyDescent="0.35">
      <c r="A6" s="6" t="s">
        <v>10</v>
      </c>
      <c r="B6" s="30">
        <v>350</v>
      </c>
      <c r="C6" s="30">
        <v>300</v>
      </c>
      <c r="D6" s="30">
        <v>400</v>
      </c>
    </row>
    <row r="7" spans="1:4" x14ac:dyDescent="0.35">
      <c r="A7" s="6" t="s">
        <v>9</v>
      </c>
      <c r="B7" s="30">
        <v>150</v>
      </c>
      <c r="C7" s="30">
        <v>200</v>
      </c>
      <c r="D7" s="30">
        <v>250</v>
      </c>
    </row>
    <row r="8" spans="1:4" x14ac:dyDescent="0.35">
      <c r="A8" s="6" t="s">
        <v>17</v>
      </c>
      <c r="B8" s="30">
        <v>300</v>
      </c>
      <c r="C8" s="30">
        <v>350</v>
      </c>
      <c r="D8" s="30">
        <v>400</v>
      </c>
    </row>
    <row r="9" spans="1:4" x14ac:dyDescent="0.35">
      <c r="A9" s="6" t="s">
        <v>6</v>
      </c>
      <c r="B9" s="30">
        <v>1200</v>
      </c>
      <c r="C9" s="30">
        <v>1400</v>
      </c>
      <c r="D9" s="30">
        <v>1350</v>
      </c>
    </row>
    <row r="10" spans="1:4" x14ac:dyDescent="0.35">
      <c r="A10" s="6" t="s">
        <v>8</v>
      </c>
      <c r="B10" s="30">
        <v>800</v>
      </c>
      <c r="C10" s="30">
        <v>950</v>
      </c>
      <c r="D10" s="30">
        <v>1100</v>
      </c>
    </row>
    <row r="11" spans="1:4" x14ac:dyDescent="0.35">
      <c r="A11" s="6" t="s">
        <v>18</v>
      </c>
      <c r="B11" s="30">
        <v>250</v>
      </c>
      <c r="C11" s="30">
        <v>280</v>
      </c>
      <c r="D11" s="30">
        <v>320</v>
      </c>
    </row>
    <row r="12" spans="1:4" x14ac:dyDescent="0.35">
      <c r="A12" s="6" t="s">
        <v>15</v>
      </c>
      <c r="B12" s="30">
        <v>200</v>
      </c>
      <c r="C12" s="30">
        <v>250</v>
      </c>
      <c r="D12" s="30">
        <v>300</v>
      </c>
    </row>
    <row r="13" spans="1:4" x14ac:dyDescent="0.35">
      <c r="A13" s="6" t="s">
        <v>30</v>
      </c>
      <c r="B13" s="30">
        <v>3450</v>
      </c>
      <c r="C13" s="30">
        <v>3970</v>
      </c>
      <c r="D13" s="30">
        <v>4390</v>
      </c>
    </row>
    <row r="18" spans="6:8" x14ac:dyDescent="0.35">
      <c r="F18" s="20"/>
      <c r="G18" s="21"/>
      <c r="H18" s="22"/>
    </row>
    <row r="19" spans="6:8" x14ac:dyDescent="0.35">
      <c r="F19" s="23"/>
      <c r="G19" s="24"/>
      <c r="H19" s="25"/>
    </row>
    <row r="20" spans="6:8" x14ac:dyDescent="0.35">
      <c r="F20" s="23"/>
      <c r="G20" s="24"/>
      <c r="H20" s="25"/>
    </row>
    <row r="21" spans="6:8" x14ac:dyDescent="0.35">
      <c r="F21" s="23"/>
      <c r="G21" s="24"/>
      <c r="H21" s="25"/>
    </row>
    <row r="22" spans="6:8" x14ac:dyDescent="0.35">
      <c r="F22" s="23"/>
      <c r="G22" s="24"/>
      <c r="H22" s="25"/>
    </row>
    <row r="23" spans="6:8" x14ac:dyDescent="0.35">
      <c r="F23" s="23"/>
      <c r="G23" s="24"/>
      <c r="H23" s="25"/>
    </row>
    <row r="24" spans="6:8" x14ac:dyDescent="0.35">
      <c r="F24" s="23"/>
      <c r="G24" s="24"/>
      <c r="H24" s="25"/>
    </row>
    <row r="25" spans="6:8" x14ac:dyDescent="0.35">
      <c r="F25" s="23"/>
      <c r="G25" s="24"/>
      <c r="H25" s="25"/>
    </row>
    <row r="26" spans="6:8" x14ac:dyDescent="0.35">
      <c r="F26" s="23"/>
      <c r="G26" s="24"/>
      <c r="H26" s="25"/>
    </row>
    <row r="27" spans="6:8" x14ac:dyDescent="0.35">
      <c r="F27" s="23"/>
      <c r="G27" s="24"/>
      <c r="H27" s="25"/>
    </row>
    <row r="28" spans="6:8" x14ac:dyDescent="0.35">
      <c r="F28" s="23"/>
      <c r="G28" s="24"/>
      <c r="H28" s="25"/>
    </row>
    <row r="29" spans="6:8" x14ac:dyDescent="0.35">
      <c r="F29" s="23"/>
      <c r="G29" s="24"/>
      <c r="H29" s="25"/>
    </row>
    <row r="30" spans="6:8" x14ac:dyDescent="0.35">
      <c r="F30" s="23"/>
      <c r="G30" s="24"/>
      <c r="H30" s="25"/>
    </row>
    <row r="31" spans="6:8" x14ac:dyDescent="0.35">
      <c r="F31" s="23"/>
      <c r="G31" s="24"/>
      <c r="H31" s="25"/>
    </row>
    <row r="32" spans="6:8" x14ac:dyDescent="0.35">
      <c r="F32" s="23"/>
      <c r="G32" s="24"/>
      <c r="H32" s="25"/>
    </row>
    <row r="33" spans="6:8" x14ac:dyDescent="0.35">
      <c r="F33" s="23"/>
      <c r="G33" s="24"/>
      <c r="H33" s="25"/>
    </row>
    <row r="34" spans="6:8" x14ac:dyDescent="0.35">
      <c r="F34" s="23"/>
      <c r="G34" s="24"/>
      <c r="H34" s="25"/>
    </row>
    <row r="35" spans="6:8" x14ac:dyDescent="0.35">
      <c r="F35" s="26"/>
      <c r="G35" s="27"/>
      <c r="H35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1B4B-F6FA-4151-96A7-94D26B72CB21}">
  <dimension ref="A3:D14"/>
  <sheetViews>
    <sheetView workbookViewId="0">
      <selection activeCell="A3" sqref="A3"/>
    </sheetView>
  </sheetViews>
  <sheetFormatPr defaultRowHeight="14.5" x14ac:dyDescent="0.35"/>
  <cols>
    <col min="1" max="1" width="15.08984375" bestFit="1" customWidth="1"/>
    <col min="2" max="2" width="14.7265625" bestFit="1" customWidth="1"/>
    <col min="3" max="4" width="15.08984375" bestFit="1" customWidth="1"/>
  </cols>
  <sheetData>
    <row r="3" spans="1:4" x14ac:dyDescent="0.35">
      <c r="A3" s="29" t="s">
        <v>29</v>
      </c>
      <c r="B3" t="s">
        <v>31</v>
      </c>
      <c r="C3" t="s">
        <v>32</v>
      </c>
      <c r="D3" t="s">
        <v>33</v>
      </c>
    </row>
    <row r="4" spans="1:4" x14ac:dyDescent="0.35">
      <c r="A4" s="6" t="s">
        <v>14</v>
      </c>
      <c r="B4" s="30">
        <v>80</v>
      </c>
      <c r="C4" s="30">
        <v>100</v>
      </c>
      <c r="D4" s="30">
        <v>110</v>
      </c>
    </row>
    <row r="5" spans="1:4" x14ac:dyDescent="0.35">
      <c r="A5" s="6" t="s">
        <v>12</v>
      </c>
      <c r="B5" s="30">
        <v>120</v>
      </c>
      <c r="C5" s="30">
        <v>140</v>
      </c>
      <c r="D5" s="30">
        <v>160</v>
      </c>
    </row>
    <row r="6" spans="1:4" x14ac:dyDescent="0.35">
      <c r="A6" s="6" t="s">
        <v>10</v>
      </c>
      <c r="B6" s="30">
        <v>350</v>
      </c>
      <c r="C6" s="30">
        <v>300</v>
      </c>
      <c r="D6" s="30">
        <v>400</v>
      </c>
    </row>
    <row r="7" spans="1:4" x14ac:dyDescent="0.35">
      <c r="A7" s="6" t="s">
        <v>9</v>
      </c>
      <c r="B7" s="30">
        <v>150</v>
      </c>
      <c r="C7" s="30">
        <v>200</v>
      </c>
      <c r="D7" s="30">
        <v>250</v>
      </c>
    </row>
    <row r="8" spans="1:4" x14ac:dyDescent="0.35">
      <c r="A8" s="6" t="s">
        <v>17</v>
      </c>
      <c r="B8" s="30">
        <v>300</v>
      </c>
      <c r="C8" s="30">
        <v>350</v>
      </c>
      <c r="D8" s="30">
        <v>400</v>
      </c>
    </row>
    <row r="9" spans="1:4" x14ac:dyDescent="0.35">
      <c r="A9" s="6" t="s">
        <v>6</v>
      </c>
      <c r="B9" s="30">
        <v>1200</v>
      </c>
      <c r="C9" s="30">
        <v>1400</v>
      </c>
      <c r="D9" s="30">
        <v>1350</v>
      </c>
    </row>
    <row r="10" spans="1:4" x14ac:dyDescent="0.35">
      <c r="A10" s="6" t="s">
        <v>8</v>
      </c>
      <c r="B10" s="30">
        <v>800</v>
      </c>
      <c r="C10" s="30">
        <v>950</v>
      </c>
      <c r="D10" s="30">
        <v>1100</v>
      </c>
    </row>
    <row r="11" spans="1:4" x14ac:dyDescent="0.35">
      <c r="A11" s="6" t="s">
        <v>18</v>
      </c>
      <c r="B11" s="30">
        <v>250</v>
      </c>
      <c r="C11" s="30">
        <v>280</v>
      </c>
      <c r="D11" s="30">
        <v>320</v>
      </c>
    </row>
    <row r="12" spans="1:4" x14ac:dyDescent="0.35">
      <c r="A12" s="6" t="s">
        <v>25</v>
      </c>
      <c r="B12" s="30">
        <v>3450</v>
      </c>
      <c r="C12" s="30">
        <v>3970</v>
      </c>
      <c r="D12" s="30">
        <v>4390</v>
      </c>
    </row>
    <row r="13" spans="1:4" x14ac:dyDescent="0.35">
      <c r="A13" s="6" t="s">
        <v>15</v>
      </c>
      <c r="B13" s="30">
        <v>200</v>
      </c>
      <c r="C13" s="30">
        <v>250</v>
      </c>
      <c r="D13" s="30">
        <v>300</v>
      </c>
    </row>
    <row r="14" spans="1:4" x14ac:dyDescent="0.35">
      <c r="A14" s="6" t="s">
        <v>30</v>
      </c>
      <c r="B14" s="30">
        <v>6900</v>
      </c>
      <c r="C14" s="30">
        <v>7940</v>
      </c>
      <c r="D14" s="30">
        <v>8780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5565-8089-4CDD-919E-A1F736875734}">
  <dimension ref="A3:B12"/>
  <sheetViews>
    <sheetView workbookViewId="0">
      <selection activeCell="B4" sqref="B4:B9"/>
    </sheetView>
  </sheetViews>
  <sheetFormatPr defaultRowHeight="14.5" x14ac:dyDescent="0.35"/>
  <cols>
    <col min="1" max="1" width="12.453125" bestFit="1" customWidth="1"/>
    <col min="2" max="2" width="11.08984375" bestFit="1" customWidth="1"/>
  </cols>
  <sheetData>
    <row r="3" spans="1:2" x14ac:dyDescent="0.35">
      <c r="A3" s="29" t="s">
        <v>29</v>
      </c>
      <c r="B3" t="s">
        <v>35</v>
      </c>
    </row>
    <row r="4" spans="1:2" x14ac:dyDescent="0.35">
      <c r="A4" s="6" t="s">
        <v>13</v>
      </c>
      <c r="B4" s="14">
        <v>710</v>
      </c>
    </row>
    <row r="5" spans="1:2" x14ac:dyDescent="0.35">
      <c r="A5" s="6" t="s">
        <v>16</v>
      </c>
      <c r="B5" s="14">
        <v>1800</v>
      </c>
    </row>
    <row r="6" spans="1:2" x14ac:dyDescent="0.35">
      <c r="A6" s="6" t="s">
        <v>7</v>
      </c>
      <c r="B6" s="14">
        <v>7400</v>
      </c>
    </row>
    <row r="7" spans="1:2" x14ac:dyDescent="0.35">
      <c r="A7" s="6" t="s">
        <v>19</v>
      </c>
      <c r="B7" s="14">
        <v>850</v>
      </c>
    </row>
    <row r="8" spans="1:2" x14ac:dyDescent="0.35">
      <c r="A8" s="6" t="s">
        <v>11</v>
      </c>
      <c r="B8" s="14">
        <v>1050</v>
      </c>
    </row>
    <row r="9" spans="1:2" x14ac:dyDescent="0.35">
      <c r="A9" s="6" t="s">
        <v>30</v>
      </c>
      <c r="B9" s="14">
        <v>11810</v>
      </c>
    </row>
    <row r="12" spans="1:2" x14ac:dyDescent="0.35">
      <c r="B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dash board</vt:lpstr>
      <vt:lpstr>Sheet15</vt:lpstr>
      <vt:lpstr>Sheet18</vt:lpstr>
      <vt:lpstr>Sheet17</vt:lpstr>
      <vt:lpstr>summary</vt:lpstr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rana abboud</dc:creator>
  <cp:keywords/>
  <dc:description/>
  <cp:lastModifiedBy>rana abboud</cp:lastModifiedBy>
  <cp:revision/>
  <dcterms:created xsi:type="dcterms:W3CDTF">2025-04-10T17:53:45Z</dcterms:created>
  <dcterms:modified xsi:type="dcterms:W3CDTF">2026-06-02T14:20:38Z</dcterms:modified>
  <cp:category/>
  <cp:contentStatus/>
</cp:coreProperties>
</file>