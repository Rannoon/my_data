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usis Course\Capstone2026\"/>
    </mc:Choice>
  </mc:AlternateContent>
  <xr:revisionPtr revIDLastSave="0" documentId="8_{E78B4D46-3E7D-4605-81B1-CBA405BE58E9}" xr6:coauthVersionLast="47" xr6:coauthVersionMax="47" xr10:uidLastSave="{00000000-0000-0000-0000-000000000000}"/>
  <bookViews>
    <workbookView xWindow="-110" yWindow="-110" windowWidth="19420" windowHeight="11500" tabRatio="921" xr2:uid="{B3DB0D54-2006-4574-B865-873C4C3AFA38}"/>
  </bookViews>
  <sheets>
    <sheet name="student_performance_dataset" sheetId="1" r:id="rId1"/>
    <sheet name="previos and last grades" sheetId="5" r:id="rId2"/>
    <sheet name="internet and grades" sheetId="3" r:id="rId3"/>
    <sheet name="sleep annd work" sheetId="4" r:id="rId4"/>
    <sheet name="gender analysis" sheetId="2" r:id="rId5"/>
    <sheet name="sleep and grade" sheetId="6" r:id="rId6"/>
  </sheets>
  <externalReferences>
    <externalReference r:id="rId7"/>
  </externalReferences>
  <definedNames>
    <definedName name="_xlcn.WorksheetConnection_Student_Performance.xlsxstudent_performance_dataset1" hidden="1">[1]!student_performance_dataset[#Data]</definedName>
    <definedName name="ExternalData_1" localSheetId="0" hidden="1">student_performance_dataset!$A$1:$L$1001</definedName>
  </definedNames>
  <calcPr calcId="191029"/>
  <pivotCaches>
    <pivotCache cacheId="2" r:id="rId8"/>
    <pivotCache cacheId="3" r:id="rId9"/>
    <pivotCache cacheId="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ent_performance_dataset-77c91d6b-7154-4292-9462-df1211520bca" name="student_performance_dataset" connection="WorksheetConnection_Student_Performance.xlsx!student_performance_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01" i="5" l="1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C15" i="3"/>
  <c r="C14" i="3"/>
  <c r="C13" i="3"/>
  <c r="C12" i="3"/>
  <c r="C11" i="3"/>
  <c r="C9" i="3"/>
  <c r="C8" i="3"/>
  <c r="F7" i="3"/>
  <c r="C7" i="3"/>
  <c r="C6" i="3"/>
  <c r="C5" i="3"/>
  <c r="F6" i="3" s="1"/>
  <c r="F5" i="2"/>
  <c r="F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45FF18-3A88-4DE8-BD9B-C8C696D34D8E}" keepAlive="1" name="Query - student_performance_dataset" description="Connection to the 'student_performance_dataset' query in the workbook." type="5" refreshedVersion="8" background="1" saveData="1">
    <dbPr connection="Provider=Microsoft.Mashup.OleDb.1;Data Source=$Workbook$;Location=student_performance_dataset;Extended Properties=&quot;&quot;" command="SELECT * FROM [student_performance_dataset]"/>
  </connection>
  <connection id="2" xr16:uid="{A7992E00-82D2-4DC2-8746-7C409EE9E65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D6F6EF0-3E3E-4F9E-88EE-E4D11BC5BB7C}" name="WorksheetConnection_Student_Performance.xlsx!student_performance_dataset" type="102" refreshedVersion="8" minRefreshableVersion="5">
    <extLst>
      <ext xmlns:x15="http://schemas.microsoft.com/office/spreadsheetml/2010/11/main" uri="{DE250136-89BD-433C-8126-D09CA5730AF9}">
        <x15:connection id="student_performance_dataset-77c91d6b-7154-4292-9462-df1211520bca" autoDelete="1">
          <x15:rangePr sourceName="_xlcn.WorksheetConnection_Student_Performance.xlsxstudent_performance_dataset1"/>
        </x15:connection>
      </ext>
    </extLst>
  </connection>
</connections>
</file>

<file path=xl/sharedStrings.xml><?xml version="1.0" encoding="utf-8"?>
<sst xmlns="http://schemas.openxmlformats.org/spreadsheetml/2006/main" count="7064" uniqueCount="46">
  <si>
    <t>student_id</t>
  </si>
  <si>
    <t>gender</t>
  </si>
  <si>
    <t>study_time_hours</t>
  </si>
  <si>
    <t>attendance_percent</t>
  </si>
  <si>
    <t>sleep_hours</t>
  </si>
  <si>
    <t>parental_education</t>
  </si>
  <si>
    <t>internet_access</t>
  </si>
  <si>
    <t>extracurricular_activities</t>
  </si>
  <si>
    <t>part_time_job</t>
  </si>
  <si>
    <t>previous_grade</t>
  </si>
  <si>
    <t>final_exam_score</t>
  </si>
  <si>
    <t>final_grade</t>
  </si>
  <si>
    <t>Male</t>
  </si>
  <si>
    <t>Bachelors</t>
  </si>
  <si>
    <t>Yes</t>
  </si>
  <si>
    <t>No</t>
  </si>
  <si>
    <t>A</t>
  </si>
  <si>
    <t>Female</t>
  </si>
  <si>
    <t>High School</t>
  </si>
  <si>
    <t>None</t>
  </si>
  <si>
    <t>B</t>
  </si>
  <si>
    <t>D</t>
  </si>
  <si>
    <t>C</t>
  </si>
  <si>
    <t>Masters</t>
  </si>
  <si>
    <t>PhD</t>
  </si>
  <si>
    <t>F</t>
  </si>
  <si>
    <t>Row Labels</t>
  </si>
  <si>
    <t>Count of student_id</t>
  </si>
  <si>
    <t>Sum of study_time_hours</t>
  </si>
  <si>
    <t>Sum of sleep_hours</t>
  </si>
  <si>
    <t>Average  Study Hours</t>
  </si>
  <si>
    <t>Grand Total</t>
  </si>
  <si>
    <t>There is no major defferences in study hours or sleep hours based on Gender</t>
  </si>
  <si>
    <t xml:space="preserve">Percentage of students </t>
  </si>
  <si>
    <t>Of students  with No internet Access Got A or B</t>
  </si>
  <si>
    <t>While</t>
  </si>
  <si>
    <t>Of students  with  internet Access Got A or B</t>
  </si>
  <si>
    <t>Having Internet access impact the Final Grade</t>
  </si>
  <si>
    <t>Average of sleep_hours</t>
  </si>
  <si>
    <t>Average sleeping hours for working and non  working students is very similar</t>
  </si>
  <si>
    <t>Working did not affect sleeping hours</t>
  </si>
  <si>
    <t>final_Grade</t>
  </si>
  <si>
    <t>average score</t>
  </si>
  <si>
    <t xml:space="preserve">Based on these columns and comparing the Final grade with average and previous score and and final exam score </t>
  </si>
  <si>
    <t xml:space="preserve">We can notice that the final Grade is reflecting the Final Exam only and it does </t>
  </si>
  <si>
    <t>Students who hit 7 hours of sleep performed the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</si>
</sst>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Alignment="1">
      <alignment horizontal="left" indent="1"/>
    </xf>
    <xf numFmtId="10" fontId="0" fillId="0" borderId="0" xfId="0" applyNumberFormat="1"/>
    <xf numFmtId="10" fontId="0" fillId="4" borderId="0" xfId="0" applyNumberFormat="1" applyFill="1"/>
    <xf numFmtId="9" fontId="0" fillId="4" borderId="0" xfId="0" applyNumberFormat="1" applyFill="1"/>
    <xf numFmtId="10" fontId="0" fillId="4" borderId="0" xfId="0" applyNumberFormat="1" applyFill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0" fontId="1" fillId="4" borderId="0" xfId="0" applyFont="1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9">
    <dxf>
      <numFmt numFmtId="0" formatCode="General"/>
    </dxf>
    <dxf>
      <numFmt numFmtId="164" formatCode="0.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0.0"/>
    </dxf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usis%20Course\Capstone2026\Student_Performance.xlsx" TargetMode="External"/><Relationship Id="rId1" Type="http://schemas.openxmlformats.org/officeDocument/2006/relationships/externalLinkPath" Target="Student_Perform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4"/>
      <sheetName val="Sheet5"/>
      <sheetName val="student_performance_dataset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Student_Performance.xlsx" TargetMode="External"/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a abboud" refreshedDate="46230.437044791666" backgroundQuery="1" createdVersion="8" refreshedVersion="8" minRefreshableVersion="3" recordCount="0" supportSubquery="1" supportAdvancedDrill="1" xr:uid="{CD2DAA48-3325-4D30-A072-E06612001E95}">
  <cacheSource type="external" connectionId="2"/>
  <cacheFields count="4">
    <cacheField name="[student_performance_dataset].[gender].[gender]" caption="gender" numFmtId="0" hierarchy="1" level="1">
      <sharedItems count="2">
        <s v="Female"/>
        <s v="Male"/>
      </sharedItems>
    </cacheField>
    <cacheField name="[Measures].[Count of student_id]" caption="Count of student_id" numFmtId="0" hierarchy="15" level="32767"/>
    <cacheField name="[Measures].[Sum of study_time_hours]" caption="Sum of study_time_hours" numFmtId="0" hierarchy="16" level="32767"/>
    <cacheField name="[Measures].[Sum of sleep_hours]" caption="Sum of sleep_hours" numFmtId="0" hierarchy="18" level="32767"/>
  </cacheFields>
  <cacheHierarchies count="19">
    <cacheHierarchy uniqueName="[student_performance_dataset].[student_id]" caption="student_id" attribute="1" defaultMemberUniqueName="[student_performance_dataset].[student_id].[All]" allUniqueName="[student_performance_dataset].[student_id].[All]" dimensionUniqueName="[student_performance_dataset]" displayFolder="" count="0" memberValueDatatype="20" unbalanced="0"/>
    <cacheHierarchy uniqueName="[student_performance_dataset].[gender]" caption="gender" attribute="1" defaultMemberUniqueName="[student_performance_dataset].[gender].[All]" allUniqueName="[student_performance_dataset].[gender].[All]" dimensionUniqueName="[student_performance_dataset]" displayFolder="" count="2" memberValueDatatype="130" unbalanced="0">
      <fieldsUsage count="2">
        <fieldUsage x="-1"/>
        <fieldUsage x="0"/>
      </fieldsUsage>
    </cacheHierarchy>
    <cacheHierarchy uniqueName="[student_performance_dataset].[study_time_hours]" caption="study_time_hours" attribute="1" defaultMemberUniqueName="[student_performance_dataset].[study_time_hours].[All]" allUniqueName="[student_performance_dataset].[study_time_hours].[All]" dimensionUniqueName="[student_performance_dataset]" displayFolder="" count="0" memberValueDatatype="5" unbalanced="0"/>
    <cacheHierarchy uniqueName="[student_performance_dataset].[attendance_percent]" caption="attendance_percent" attribute="1" defaultMemberUniqueName="[student_performance_dataset].[attendance_percent].[All]" allUniqueName="[student_performance_dataset].[attendance_percent].[All]" dimensionUniqueName="[student_performance_dataset]" displayFolder="" count="0" memberValueDatatype="5" unbalanced="0"/>
    <cacheHierarchy uniqueName="[student_performance_dataset].[sleep_hours]" caption="sleep_hours" attribute="1" defaultMemberUniqueName="[student_performance_dataset].[sleep_hours].[All]" allUniqueName="[student_performance_dataset].[sleep_hours].[All]" dimensionUniqueName="[student_performance_dataset]" displayFolder="" count="0" memberValueDatatype="5" unbalanced="0"/>
    <cacheHierarchy uniqueName="[student_performance_dataset].[parental_education]" caption="parental_education" attribute="1" defaultMemberUniqueName="[student_performance_dataset].[parental_education].[All]" allUniqueName="[student_performance_dataset].[parental_education].[All]" dimensionUniqueName="[student_performance_dataset]" displayFolder="" count="0" memberValueDatatype="130" unbalanced="0"/>
    <cacheHierarchy uniqueName="[student_performance_dataset].[internet_access]" caption="internet_access" attribute="1" defaultMemberUniqueName="[student_performance_dataset].[internet_access].[All]" allUniqueName="[student_performance_dataset].[internet_access].[All]" dimensionUniqueName="[student_performance_dataset]" displayFolder="" count="0" memberValueDatatype="130" unbalanced="0"/>
    <cacheHierarchy uniqueName="[student_performance_dataset].[extracurricular_activities]" caption="extracurricular_activities" attribute="1" defaultMemberUniqueName="[student_performance_dataset].[extracurricular_activities].[All]" allUniqueName="[student_performance_dataset].[extracurricular_activities].[All]" dimensionUniqueName="[student_performance_dataset]" displayFolder="" count="0" memberValueDatatype="130" unbalanced="0"/>
    <cacheHierarchy uniqueName="[student_performance_dataset].[part_time_job]" caption="part_time_job" attribute="1" defaultMemberUniqueName="[student_performance_dataset].[part_time_job].[All]" allUniqueName="[student_performance_dataset].[part_time_job].[All]" dimensionUniqueName="[student_performance_dataset]" displayFolder="" count="0" memberValueDatatype="130" unbalanced="0"/>
    <cacheHierarchy uniqueName="[student_performance_dataset].[previous_grade]" caption="previous_grade" attribute="1" defaultMemberUniqueName="[student_performance_dataset].[previous_grade].[All]" allUniqueName="[student_performance_dataset].[previous_grade].[All]" dimensionUniqueName="[student_performance_dataset]" displayFolder="" count="0" memberValueDatatype="5" unbalanced="0"/>
    <cacheHierarchy uniqueName="[student_performance_dataset].[final_exam_score]" caption="final_exam_score" attribute="1" defaultMemberUniqueName="[student_performance_dataset].[final_exam_score].[All]" allUniqueName="[student_performance_dataset].[final_exam_score].[All]" dimensionUniqueName="[student_performance_dataset]" displayFolder="" count="0" memberValueDatatype="5" unbalanced="0"/>
    <cacheHierarchy uniqueName="[student_performance_dataset].[final_grade]" caption="final_grade" attribute="1" defaultMemberUniqueName="[student_performance_dataset].[final_grade].[All]" allUniqueName="[student_performance_dataset].[final_grade].[All]" dimensionUniqueName="[student_performance_dataset]" displayFolder="" count="0" memberValueDatatype="130" unbalanced="0"/>
    <cacheHierarchy uniqueName="[Measures].[__XL_Count student_performance_dataset]" caption="__XL_Count student_performance_dataset" measure="1" displayFolder="" measureGroup="student_performance_dataset" count="0" hidden="1"/>
    <cacheHierarchy uniqueName="[Measures].[__No measures defined]" caption="__No measures defined" measure="1" displayFolder="" count="0" hidden="1"/>
    <cacheHierarchy uniqueName="[Measures].[Sum of student_id]" caption="Sum of student_id" measure="1" displayFolder="" measureGroup="student_performance_datase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tudent_id]" caption="Count of student_id" measure="1" displayFolder="" measureGroup="student_performance_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tudy_time_hours]" caption="Sum of study_time_hours" measure="1" displayFolder="" measureGroup="student_performance_datas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ttendance_percent]" caption="Sum of attendance_percent" measure="1" displayFolder="" measureGroup="student_performance_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leep_hours]" caption="Sum of sleep_hours" measure="1" displayFolder="" measureGroup="student_performance_datase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tudent_performance_dataset" uniqueName="[student_performance_dataset]" caption="student_performance_dataset"/>
  </dimensions>
  <measureGroups count="1">
    <measureGroup name="student_performance_dataset" caption="student_performance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a abboud" refreshedDate="46230.442977662038" createdVersion="8" refreshedVersion="8" minRefreshableVersion="3" recordCount="1000" xr:uid="{38F29B63-38B2-41C9-8B65-B91A8F6361A0}">
  <cacheSource type="worksheet">
    <worksheetSource name="student_performance_dataset" r:id="rId2"/>
  </cacheSource>
  <cacheFields count="12">
    <cacheField name="student_id" numFmtId="0">
      <sharedItems containsSemiMixedTypes="0" containsString="0" containsNumber="1" containsInteger="1" minValue="1" maxValue="1000"/>
    </cacheField>
    <cacheField name="gender" numFmtId="0">
      <sharedItems/>
    </cacheField>
    <cacheField name="study_time_hours" numFmtId="164">
      <sharedItems containsSemiMixedTypes="0" containsString="0" containsNumber="1" minValue="0.5" maxValue="8.1" count="70">
        <n v="4"/>
        <n v="6.3"/>
        <n v="4.9000000000000004"/>
        <n v="2.6"/>
        <n v="2.2000000000000002"/>
        <n v="4.2"/>
        <n v="1.5"/>
        <n v="6.2"/>
        <n v="5.3"/>
        <n v="2.8"/>
        <n v="0.9"/>
        <n v="5.5"/>
        <n v="3.3"/>
        <n v="5.4"/>
        <n v="1.1000000000000001"/>
        <n v="3.5"/>
        <n v="3.6"/>
        <n v="4.4000000000000004"/>
        <n v="1.9"/>
        <n v="3.7"/>
        <n v="4.3"/>
        <n v="4.5999999999999996"/>
        <n v="1.8"/>
        <n v="1.2"/>
        <n v="2.4"/>
        <n v="5.8"/>
        <n v="6.6"/>
        <n v="6.1"/>
        <n v="3.1"/>
        <n v="5"/>
        <n v="4.5"/>
        <n v="5.6"/>
        <n v="2.1"/>
        <n v="5.0999999999999996"/>
        <n v="1.7"/>
        <n v="0.5"/>
        <n v="5.9"/>
        <n v="1.4"/>
        <n v="3.4"/>
        <n v="4.0999999999999996"/>
        <n v="2.7"/>
        <n v="2"/>
        <n v="2.2999999999999998"/>
        <n v="6.4"/>
        <n v="2.5"/>
        <n v="3.8"/>
        <n v="3.2"/>
        <n v="6"/>
        <n v="8.1"/>
        <n v="5.2"/>
        <n v="4.8"/>
        <n v="5.7"/>
        <n v="3.9"/>
        <n v="1"/>
        <n v="0.8"/>
        <n v="2.9"/>
        <n v="3"/>
        <n v="0.7"/>
        <n v="4.7"/>
        <n v="1.3"/>
        <n v="6.9"/>
        <n v="1.6"/>
        <n v="7.2"/>
        <n v="7.4"/>
        <n v="7.3"/>
        <n v="6.5"/>
        <n v="6.7"/>
        <n v="7.1"/>
        <n v="6.8"/>
        <n v="7"/>
      </sharedItems>
    </cacheField>
    <cacheField name="attendance_percent" numFmtId="0">
      <sharedItems containsSemiMixedTypes="0" containsString="0" containsNumber="1" minValue="54.8" maxValue="100"/>
    </cacheField>
    <cacheField name="sleep_hours" numFmtId="164">
      <sharedItems containsSemiMixedTypes="0" containsString="0" containsNumber="1" minValue="3.2" maxValue="10"/>
    </cacheField>
    <cacheField name="parental_education" numFmtId="0">
      <sharedItems count="5">
        <s v="Bachelors"/>
        <s v="High School"/>
        <s v="None"/>
        <s v="Masters"/>
        <s v="PhD"/>
      </sharedItems>
    </cacheField>
    <cacheField name="internet_access" numFmtId="0">
      <sharedItems count="2">
        <s v="Yes"/>
        <s v="No"/>
      </sharedItems>
    </cacheField>
    <cacheField name="extracurricular_activities" numFmtId="0">
      <sharedItems/>
    </cacheField>
    <cacheField name="part_time_job" numFmtId="0">
      <sharedItems count="2">
        <s v="No"/>
        <s v="Yes"/>
      </sharedItems>
    </cacheField>
    <cacheField name="previous_grade" numFmtId="0">
      <sharedItems containsSemiMixedTypes="0" containsString="0" containsNumber="1" minValue="31.3" maxValue="100"/>
    </cacheField>
    <cacheField name="final_exam_score" numFmtId="164">
      <sharedItems containsSemiMixedTypes="0" containsString="0" containsNumber="1" minValue="46.8" maxValue="100"/>
    </cacheField>
    <cacheField name="final_grade" numFmtId="0">
      <sharedItems count="5">
        <s v="A"/>
        <s v="B"/>
        <s v="D"/>
        <s v="C"/>
        <s v="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a abboud" refreshedDate="46240.958642245372" createdVersion="8" refreshedVersion="8" minRefreshableVersion="3" recordCount="1000" xr:uid="{D3DB88BF-20CF-4039-A1AC-2BE7C459E889}">
  <cacheSource type="worksheet">
    <worksheetSource name="student_performance_dataset"/>
  </cacheSource>
  <cacheFields count="12">
    <cacheField name="student_id" numFmtId="0">
      <sharedItems containsSemiMixedTypes="0" containsString="0" containsNumber="1" containsInteger="1" minValue="1" maxValue="1000"/>
    </cacheField>
    <cacheField name="gender" numFmtId="0">
      <sharedItems count="2">
        <s v="Male"/>
        <s v="Female"/>
      </sharedItems>
    </cacheField>
    <cacheField name="study_time_hours" numFmtId="164">
      <sharedItems containsSemiMixedTypes="0" containsString="0" containsNumber="1" minValue="0.5" maxValue="8.1"/>
    </cacheField>
    <cacheField name="attendance_percent" numFmtId="0">
      <sharedItems containsSemiMixedTypes="0" containsString="0" containsNumber="1" minValue="54.8" maxValue="100"/>
    </cacheField>
    <cacheField name="sleep_hours" numFmtId="164">
      <sharedItems containsSemiMixedTypes="0" containsString="0" containsNumber="1" minValue="3.2" maxValue="10"/>
    </cacheField>
    <cacheField name="parental_education" numFmtId="0">
      <sharedItems/>
    </cacheField>
    <cacheField name="internet_access" numFmtId="0">
      <sharedItems/>
    </cacheField>
    <cacheField name="extracurricular_activities" numFmtId="0">
      <sharedItems count="2">
        <s v="Yes"/>
        <s v="No"/>
      </sharedItems>
    </cacheField>
    <cacheField name="part_time_job" numFmtId="0">
      <sharedItems/>
    </cacheField>
    <cacheField name="previous_grade" numFmtId="0">
      <sharedItems containsSemiMixedTypes="0" containsString="0" containsNumber="1" minValue="31.3" maxValue="100"/>
    </cacheField>
    <cacheField name="final_exam_score" numFmtId="164">
      <sharedItems containsSemiMixedTypes="0" containsString="0" containsNumber="1" minValue="46.8" maxValue="100"/>
    </cacheField>
    <cacheField name="final_grade" numFmtId="0">
      <sharedItems count="5">
        <s v="A"/>
        <s v="B"/>
        <s v="D"/>
        <s v="C"/>
        <s v="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Male"/>
    <x v="0"/>
    <n v="98"/>
    <n v="6.5"/>
    <x v="0"/>
    <x v="0"/>
    <s v="Yes"/>
    <x v="0"/>
    <n v="76.900000000000006"/>
    <n v="100"/>
    <x v="0"/>
  </r>
  <r>
    <n v="2"/>
    <s v="Female"/>
    <x v="1"/>
    <n v="100"/>
    <n v="5.7"/>
    <x v="1"/>
    <x v="0"/>
    <s v="Yes"/>
    <x v="1"/>
    <n v="75.5"/>
    <n v="100"/>
    <x v="0"/>
  </r>
  <r>
    <n v="3"/>
    <s v="Male"/>
    <x v="2"/>
    <n v="85.3"/>
    <n v="7.9"/>
    <x v="0"/>
    <x v="0"/>
    <s v="No"/>
    <x v="1"/>
    <n v="88.5"/>
    <n v="97.3"/>
    <x v="0"/>
  </r>
  <r>
    <n v="4"/>
    <s v="Male"/>
    <x v="3"/>
    <n v="77.5"/>
    <n v="8"/>
    <x v="2"/>
    <x v="0"/>
    <s v="Yes"/>
    <x v="0"/>
    <n v="85.1"/>
    <n v="83.8"/>
    <x v="1"/>
  </r>
  <r>
    <n v="5"/>
    <s v="Male"/>
    <x v="4"/>
    <n v="89.6"/>
    <n v="4.5999999999999996"/>
    <x v="0"/>
    <x v="0"/>
    <s v="No"/>
    <x v="1"/>
    <n v="61.8"/>
    <n v="68.3"/>
    <x v="2"/>
  </r>
  <r>
    <n v="6"/>
    <s v="Female"/>
    <x v="5"/>
    <n v="78.2"/>
    <n v="5.7"/>
    <x v="1"/>
    <x v="0"/>
    <s v="No"/>
    <x v="0"/>
    <n v="79.8"/>
    <n v="81.599999999999994"/>
    <x v="1"/>
  </r>
  <r>
    <n v="7"/>
    <s v="Male"/>
    <x v="6"/>
    <n v="100"/>
    <n v="5"/>
    <x v="1"/>
    <x v="0"/>
    <s v="Yes"/>
    <x v="1"/>
    <n v="58.6"/>
    <n v="69.599999999999994"/>
    <x v="2"/>
  </r>
  <r>
    <n v="8"/>
    <s v="Male"/>
    <x v="7"/>
    <n v="86.4"/>
    <n v="6"/>
    <x v="1"/>
    <x v="0"/>
    <s v="Yes"/>
    <x v="0"/>
    <n v="78.400000000000006"/>
    <n v="88"/>
    <x v="1"/>
  </r>
  <r>
    <n v="9"/>
    <s v="Male"/>
    <x v="8"/>
    <n v="81.3"/>
    <n v="6.7"/>
    <x v="0"/>
    <x v="0"/>
    <s v="No"/>
    <x v="0"/>
    <n v="63.8"/>
    <n v="84.4"/>
    <x v="1"/>
  </r>
  <r>
    <n v="10"/>
    <s v="Female"/>
    <x v="9"/>
    <n v="86.8"/>
    <n v="5.0999999999999996"/>
    <x v="0"/>
    <x v="0"/>
    <s v="Yes"/>
    <x v="0"/>
    <n v="57.7"/>
    <n v="74.3"/>
    <x v="3"/>
  </r>
  <r>
    <n v="11"/>
    <s v="Male"/>
    <x v="10"/>
    <n v="71.5"/>
    <n v="5.7"/>
    <x v="1"/>
    <x v="0"/>
    <s v="No"/>
    <x v="1"/>
    <n v="73.400000000000006"/>
    <n v="68.900000000000006"/>
    <x v="2"/>
  </r>
  <r>
    <n v="12"/>
    <s v="Male"/>
    <x v="11"/>
    <n v="75.3"/>
    <n v="5.6"/>
    <x v="2"/>
    <x v="0"/>
    <s v="Yes"/>
    <x v="0"/>
    <n v="37.9"/>
    <n v="76.7"/>
    <x v="3"/>
  </r>
  <r>
    <n v="13"/>
    <s v="Male"/>
    <x v="12"/>
    <n v="97"/>
    <n v="7"/>
    <x v="3"/>
    <x v="0"/>
    <s v="Yes"/>
    <x v="1"/>
    <n v="49"/>
    <n v="82.6"/>
    <x v="1"/>
  </r>
  <r>
    <n v="14"/>
    <s v="Male"/>
    <x v="13"/>
    <n v="78.400000000000006"/>
    <n v="6.9"/>
    <x v="0"/>
    <x v="1"/>
    <s v="No"/>
    <x v="0"/>
    <n v="67.900000000000006"/>
    <n v="93.3"/>
    <x v="0"/>
  </r>
  <r>
    <n v="15"/>
    <s v="Female"/>
    <x v="14"/>
    <n v="74.5"/>
    <n v="5.9"/>
    <x v="3"/>
    <x v="0"/>
    <s v="Yes"/>
    <x v="1"/>
    <n v="71"/>
    <n v="73.900000000000006"/>
    <x v="3"/>
  </r>
  <r>
    <n v="16"/>
    <s v="Male"/>
    <x v="3"/>
    <n v="90.4"/>
    <n v="7"/>
    <x v="1"/>
    <x v="0"/>
    <s v="Yes"/>
    <x v="0"/>
    <n v="65.599999999999994"/>
    <n v="84.8"/>
    <x v="1"/>
  </r>
  <r>
    <n v="17"/>
    <s v="Female"/>
    <x v="15"/>
    <n v="96.9"/>
    <n v="6.1"/>
    <x v="0"/>
    <x v="0"/>
    <s v="Yes"/>
    <x v="0"/>
    <n v="51"/>
    <n v="81.5"/>
    <x v="1"/>
  </r>
  <r>
    <n v="18"/>
    <s v="Female"/>
    <x v="16"/>
    <n v="92.2"/>
    <n v="6.5"/>
    <x v="0"/>
    <x v="0"/>
    <s v="Yes"/>
    <x v="1"/>
    <n v="60.2"/>
    <n v="75.5"/>
    <x v="3"/>
  </r>
  <r>
    <n v="19"/>
    <s v="Female"/>
    <x v="9"/>
    <n v="95"/>
    <n v="8.8000000000000007"/>
    <x v="3"/>
    <x v="1"/>
    <s v="Yes"/>
    <x v="0"/>
    <n v="74.7"/>
    <n v="89.7"/>
    <x v="1"/>
  </r>
  <r>
    <n v="20"/>
    <s v="Male"/>
    <x v="17"/>
    <n v="77.400000000000006"/>
    <n v="8.4"/>
    <x v="3"/>
    <x v="1"/>
    <s v="No"/>
    <x v="1"/>
    <n v="77"/>
    <n v="92.8"/>
    <x v="0"/>
  </r>
  <r>
    <n v="21"/>
    <s v="Female"/>
    <x v="18"/>
    <n v="70.8"/>
    <n v="5.2"/>
    <x v="1"/>
    <x v="0"/>
    <s v="Yes"/>
    <x v="0"/>
    <n v="69.8"/>
    <n v="73.5"/>
    <x v="3"/>
  </r>
  <r>
    <n v="22"/>
    <s v="Male"/>
    <x v="12"/>
    <n v="100"/>
    <n v="7.8"/>
    <x v="2"/>
    <x v="0"/>
    <s v="Yes"/>
    <x v="0"/>
    <n v="83.9"/>
    <n v="100"/>
    <x v="0"/>
  </r>
  <r>
    <n v="23"/>
    <s v="Female"/>
    <x v="19"/>
    <n v="81.8"/>
    <n v="7.8"/>
    <x v="1"/>
    <x v="1"/>
    <s v="No"/>
    <x v="0"/>
    <n v="74.8"/>
    <n v="73.400000000000006"/>
    <x v="3"/>
  </r>
  <r>
    <n v="24"/>
    <s v="Female"/>
    <x v="20"/>
    <n v="82.5"/>
    <n v="5.4"/>
    <x v="4"/>
    <x v="1"/>
    <s v="Yes"/>
    <x v="0"/>
    <n v="61"/>
    <n v="71.2"/>
    <x v="3"/>
  </r>
  <r>
    <n v="25"/>
    <s v="Female"/>
    <x v="21"/>
    <n v="98.3"/>
    <n v="7.8"/>
    <x v="2"/>
    <x v="0"/>
    <s v="Yes"/>
    <x v="1"/>
    <n v="66.599999999999994"/>
    <n v="97.2"/>
    <x v="0"/>
  </r>
  <r>
    <n v="26"/>
    <s v="Female"/>
    <x v="22"/>
    <n v="90.6"/>
    <n v="8.6"/>
    <x v="1"/>
    <x v="0"/>
    <s v="No"/>
    <x v="0"/>
    <n v="53.2"/>
    <n v="76"/>
    <x v="3"/>
  </r>
  <r>
    <n v="27"/>
    <s v="Female"/>
    <x v="23"/>
    <n v="89.6"/>
    <n v="5.5"/>
    <x v="3"/>
    <x v="0"/>
    <s v="No"/>
    <x v="1"/>
    <n v="68.7"/>
    <n v="78.7"/>
    <x v="3"/>
  </r>
  <r>
    <n v="28"/>
    <s v="Female"/>
    <x v="13"/>
    <n v="100"/>
    <n v="5.7"/>
    <x v="1"/>
    <x v="1"/>
    <s v="No"/>
    <x v="0"/>
    <n v="83.3"/>
    <n v="97.4"/>
    <x v="0"/>
  </r>
  <r>
    <n v="29"/>
    <s v="Female"/>
    <x v="0"/>
    <n v="78.599999999999994"/>
    <n v="8"/>
    <x v="0"/>
    <x v="0"/>
    <s v="No"/>
    <x v="0"/>
    <n v="78.2"/>
    <n v="84.2"/>
    <x v="1"/>
  </r>
  <r>
    <n v="30"/>
    <s v="Female"/>
    <x v="24"/>
    <n v="94.3"/>
    <n v="7.1"/>
    <x v="0"/>
    <x v="0"/>
    <s v="Yes"/>
    <x v="0"/>
    <n v="86.8"/>
    <n v="89.8"/>
    <x v="1"/>
  </r>
  <r>
    <n v="31"/>
    <s v="Male"/>
    <x v="25"/>
    <n v="85.6"/>
    <n v="7.5"/>
    <x v="0"/>
    <x v="0"/>
    <s v="No"/>
    <x v="1"/>
    <n v="66.400000000000006"/>
    <n v="82.4"/>
    <x v="1"/>
  </r>
  <r>
    <n v="32"/>
    <s v="Male"/>
    <x v="19"/>
    <n v="87.7"/>
    <n v="7.2"/>
    <x v="2"/>
    <x v="0"/>
    <s v="Yes"/>
    <x v="0"/>
    <n v="86.2"/>
    <n v="87.7"/>
    <x v="1"/>
  </r>
  <r>
    <n v="33"/>
    <s v="Female"/>
    <x v="8"/>
    <n v="100"/>
    <n v="7.3"/>
    <x v="3"/>
    <x v="0"/>
    <s v="Yes"/>
    <x v="0"/>
    <n v="67.7"/>
    <n v="100"/>
    <x v="0"/>
  </r>
  <r>
    <n v="34"/>
    <s v="Female"/>
    <x v="16"/>
    <n v="90.1"/>
    <n v="5.2"/>
    <x v="0"/>
    <x v="1"/>
    <s v="Yes"/>
    <x v="0"/>
    <n v="87.7"/>
    <n v="93.3"/>
    <x v="0"/>
  </r>
  <r>
    <n v="35"/>
    <s v="Female"/>
    <x v="26"/>
    <n v="90.4"/>
    <n v="8.1"/>
    <x v="3"/>
    <x v="0"/>
    <s v="Yes"/>
    <x v="1"/>
    <n v="69.7"/>
    <n v="100"/>
    <x v="0"/>
  </r>
  <r>
    <n v="36"/>
    <s v="Male"/>
    <x v="27"/>
    <n v="95.7"/>
    <n v="8.1999999999999993"/>
    <x v="2"/>
    <x v="0"/>
    <s v="Yes"/>
    <x v="1"/>
    <n v="78.5"/>
    <n v="92.9"/>
    <x v="0"/>
  </r>
  <r>
    <n v="37"/>
    <s v="Female"/>
    <x v="28"/>
    <n v="81.400000000000006"/>
    <n v="6.5"/>
    <x v="1"/>
    <x v="0"/>
    <s v="No"/>
    <x v="1"/>
    <n v="87.7"/>
    <n v="83.2"/>
    <x v="1"/>
  </r>
  <r>
    <n v="38"/>
    <s v="Male"/>
    <x v="29"/>
    <n v="76.599999999999994"/>
    <n v="6.7"/>
    <x v="2"/>
    <x v="0"/>
    <s v="Yes"/>
    <x v="0"/>
    <n v="67.7"/>
    <n v="81.099999999999994"/>
    <x v="1"/>
  </r>
  <r>
    <n v="39"/>
    <s v="Male"/>
    <x v="30"/>
    <n v="74.599999999999994"/>
    <n v="5"/>
    <x v="1"/>
    <x v="0"/>
    <s v="Yes"/>
    <x v="1"/>
    <n v="72.599999999999994"/>
    <n v="89.5"/>
    <x v="1"/>
  </r>
  <r>
    <n v="40"/>
    <s v="Male"/>
    <x v="31"/>
    <n v="65.3"/>
    <n v="7.4"/>
    <x v="3"/>
    <x v="0"/>
    <s v="Yes"/>
    <x v="0"/>
    <n v="85.5"/>
    <n v="91.6"/>
    <x v="0"/>
  </r>
  <r>
    <n v="41"/>
    <s v="Male"/>
    <x v="32"/>
    <n v="100"/>
    <n v="7.5"/>
    <x v="1"/>
    <x v="0"/>
    <s v="Yes"/>
    <x v="1"/>
    <n v="68.400000000000006"/>
    <n v="75.3"/>
    <x v="3"/>
  </r>
  <r>
    <n v="42"/>
    <s v="Male"/>
    <x v="30"/>
    <n v="74"/>
    <n v="6.7"/>
    <x v="1"/>
    <x v="0"/>
    <s v="No"/>
    <x v="0"/>
    <n v="54.1"/>
    <n v="79"/>
    <x v="3"/>
  </r>
  <r>
    <n v="43"/>
    <s v="Female"/>
    <x v="33"/>
    <n v="82.8"/>
    <n v="8.1"/>
    <x v="0"/>
    <x v="0"/>
    <s v="Yes"/>
    <x v="0"/>
    <n v="95.7"/>
    <n v="100"/>
    <x v="0"/>
  </r>
  <r>
    <n v="44"/>
    <s v="Female"/>
    <x v="10"/>
    <n v="82.2"/>
    <n v="6.4"/>
    <x v="0"/>
    <x v="0"/>
    <s v="Yes"/>
    <x v="0"/>
    <n v="64.400000000000006"/>
    <n v="79.2"/>
    <x v="3"/>
  </r>
  <r>
    <n v="45"/>
    <s v="Female"/>
    <x v="34"/>
    <n v="88.1"/>
    <n v="7.5"/>
    <x v="0"/>
    <x v="1"/>
    <s v="Yes"/>
    <x v="0"/>
    <n v="71.900000000000006"/>
    <n v="70.8"/>
    <x v="3"/>
  </r>
  <r>
    <n v="46"/>
    <s v="Female"/>
    <x v="35"/>
    <n v="93.2"/>
    <n v="5.6"/>
    <x v="1"/>
    <x v="1"/>
    <s v="No"/>
    <x v="1"/>
    <n v="83.9"/>
    <n v="61.8"/>
    <x v="2"/>
  </r>
  <r>
    <n v="47"/>
    <s v="Female"/>
    <x v="28"/>
    <n v="93.6"/>
    <n v="6.8"/>
    <x v="0"/>
    <x v="0"/>
    <s v="Yes"/>
    <x v="1"/>
    <n v="62.7"/>
    <n v="68"/>
    <x v="2"/>
  </r>
  <r>
    <n v="48"/>
    <s v="Male"/>
    <x v="21"/>
    <n v="79.2"/>
    <n v="6.6"/>
    <x v="2"/>
    <x v="0"/>
    <s v="Yes"/>
    <x v="1"/>
    <n v="57.9"/>
    <n v="80.3"/>
    <x v="1"/>
  </r>
  <r>
    <n v="49"/>
    <s v="Female"/>
    <x v="25"/>
    <n v="83.3"/>
    <n v="7.1"/>
    <x v="0"/>
    <x v="1"/>
    <s v="Yes"/>
    <x v="0"/>
    <n v="73"/>
    <n v="88.6"/>
    <x v="1"/>
  </r>
  <r>
    <n v="50"/>
    <s v="Female"/>
    <x v="16"/>
    <n v="87.8"/>
    <n v="6.4"/>
    <x v="1"/>
    <x v="0"/>
    <s v="Yes"/>
    <x v="0"/>
    <n v="48.5"/>
    <n v="69.400000000000006"/>
    <x v="2"/>
  </r>
  <r>
    <n v="51"/>
    <s v="Male"/>
    <x v="36"/>
    <n v="82.5"/>
    <n v="6.6"/>
    <x v="0"/>
    <x v="0"/>
    <s v="Yes"/>
    <x v="0"/>
    <n v="66.5"/>
    <n v="100"/>
    <x v="0"/>
  </r>
  <r>
    <n v="52"/>
    <s v="Female"/>
    <x v="37"/>
    <n v="100"/>
    <n v="7.8"/>
    <x v="1"/>
    <x v="1"/>
    <s v="No"/>
    <x v="0"/>
    <n v="72.900000000000006"/>
    <n v="81.8"/>
    <x v="1"/>
  </r>
  <r>
    <n v="53"/>
    <s v="Male"/>
    <x v="10"/>
    <n v="89.9"/>
    <n v="6.3"/>
    <x v="3"/>
    <x v="0"/>
    <s v="No"/>
    <x v="0"/>
    <n v="66.8"/>
    <n v="72.599999999999994"/>
    <x v="3"/>
  </r>
  <r>
    <n v="54"/>
    <s v="Female"/>
    <x v="38"/>
    <n v="92.3"/>
    <n v="4.9000000000000004"/>
    <x v="3"/>
    <x v="0"/>
    <s v="No"/>
    <x v="0"/>
    <n v="51.5"/>
    <n v="85.3"/>
    <x v="1"/>
  </r>
  <r>
    <n v="55"/>
    <s v="Male"/>
    <x v="39"/>
    <n v="91.6"/>
    <n v="8.9"/>
    <x v="0"/>
    <x v="1"/>
    <s v="Yes"/>
    <x v="0"/>
    <n v="89.1"/>
    <n v="99.8"/>
    <x v="0"/>
  </r>
  <r>
    <n v="56"/>
    <s v="Female"/>
    <x v="15"/>
    <n v="96.7"/>
    <n v="8.5"/>
    <x v="0"/>
    <x v="0"/>
    <s v="Yes"/>
    <x v="1"/>
    <n v="71.2"/>
    <n v="84.3"/>
    <x v="1"/>
  </r>
  <r>
    <n v="57"/>
    <s v="Female"/>
    <x v="35"/>
    <n v="86.8"/>
    <n v="5.2"/>
    <x v="3"/>
    <x v="0"/>
    <s v="Yes"/>
    <x v="0"/>
    <n v="87.2"/>
    <n v="71.5"/>
    <x v="3"/>
  </r>
  <r>
    <n v="58"/>
    <s v="Male"/>
    <x v="38"/>
    <n v="72"/>
    <n v="7.6"/>
    <x v="0"/>
    <x v="0"/>
    <s v="No"/>
    <x v="0"/>
    <n v="66.900000000000006"/>
    <n v="84.3"/>
    <x v="1"/>
  </r>
  <r>
    <n v="59"/>
    <s v="Male"/>
    <x v="6"/>
    <n v="89"/>
    <n v="6.2"/>
    <x v="3"/>
    <x v="0"/>
    <s v="No"/>
    <x v="0"/>
    <n v="59.4"/>
    <n v="74.5"/>
    <x v="3"/>
  </r>
  <r>
    <n v="60"/>
    <s v="Male"/>
    <x v="30"/>
    <n v="78.5"/>
    <n v="7.1"/>
    <x v="0"/>
    <x v="0"/>
    <s v="No"/>
    <x v="0"/>
    <n v="73.2"/>
    <n v="89.5"/>
    <x v="1"/>
  </r>
  <r>
    <n v="61"/>
    <s v="Male"/>
    <x v="0"/>
    <n v="79.7"/>
    <n v="7.2"/>
    <x v="3"/>
    <x v="0"/>
    <s v="Yes"/>
    <x v="0"/>
    <n v="67.400000000000006"/>
    <n v="80.400000000000006"/>
    <x v="1"/>
  </r>
  <r>
    <n v="62"/>
    <s v="Male"/>
    <x v="32"/>
    <n v="90.9"/>
    <n v="6.5"/>
    <x v="0"/>
    <x v="1"/>
    <s v="Yes"/>
    <x v="1"/>
    <n v="55.9"/>
    <n v="71.099999999999994"/>
    <x v="3"/>
  </r>
  <r>
    <n v="63"/>
    <s v="Male"/>
    <x v="40"/>
    <n v="97.4"/>
    <n v="5.9"/>
    <x v="0"/>
    <x v="0"/>
    <s v="Yes"/>
    <x v="0"/>
    <n v="87.6"/>
    <n v="87.8"/>
    <x v="1"/>
  </r>
  <r>
    <n v="64"/>
    <s v="Male"/>
    <x v="18"/>
    <n v="85.2"/>
    <n v="6"/>
    <x v="2"/>
    <x v="0"/>
    <s v="No"/>
    <x v="0"/>
    <n v="62.5"/>
    <n v="73"/>
    <x v="3"/>
  </r>
  <r>
    <n v="65"/>
    <s v="Male"/>
    <x v="38"/>
    <n v="88.1"/>
    <n v="5.7"/>
    <x v="0"/>
    <x v="0"/>
    <s v="No"/>
    <x v="1"/>
    <n v="47.9"/>
    <n v="80.8"/>
    <x v="1"/>
  </r>
  <r>
    <n v="66"/>
    <s v="Female"/>
    <x v="2"/>
    <n v="100"/>
    <n v="5.8"/>
    <x v="0"/>
    <x v="0"/>
    <s v="No"/>
    <x v="0"/>
    <n v="85.9"/>
    <n v="97.4"/>
    <x v="0"/>
  </r>
  <r>
    <n v="67"/>
    <s v="Female"/>
    <x v="41"/>
    <n v="87.4"/>
    <n v="6.7"/>
    <x v="1"/>
    <x v="0"/>
    <s v="Yes"/>
    <x v="0"/>
    <n v="63.9"/>
    <n v="67.8"/>
    <x v="2"/>
  </r>
  <r>
    <n v="68"/>
    <s v="Male"/>
    <x v="20"/>
    <n v="100"/>
    <n v="5.9"/>
    <x v="0"/>
    <x v="1"/>
    <s v="Yes"/>
    <x v="0"/>
    <n v="62.7"/>
    <n v="79.2"/>
    <x v="3"/>
  </r>
  <r>
    <n v="69"/>
    <s v="Female"/>
    <x v="40"/>
    <n v="90.7"/>
    <n v="7.6"/>
    <x v="0"/>
    <x v="1"/>
    <s v="No"/>
    <x v="1"/>
    <n v="48.8"/>
    <n v="73.5"/>
    <x v="3"/>
  </r>
  <r>
    <n v="70"/>
    <s v="Female"/>
    <x v="42"/>
    <n v="67.400000000000006"/>
    <n v="8.6"/>
    <x v="1"/>
    <x v="0"/>
    <s v="No"/>
    <x v="0"/>
    <n v="90.9"/>
    <n v="85.1"/>
    <x v="1"/>
  </r>
  <r>
    <n v="71"/>
    <s v="Female"/>
    <x v="12"/>
    <n v="92.5"/>
    <n v="6.1"/>
    <x v="1"/>
    <x v="0"/>
    <s v="Yes"/>
    <x v="0"/>
    <n v="54.5"/>
    <n v="79.599999999999994"/>
    <x v="3"/>
  </r>
  <r>
    <n v="72"/>
    <s v="Female"/>
    <x v="18"/>
    <n v="88.8"/>
    <n v="7.1"/>
    <x v="0"/>
    <x v="0"/>
    <s v="Yes"/>
    <x v="0"/>
    <n v="70.7"/>
    <n v="77.400000000000006"/>
    <x v="3"/>
  </r>
  <r>
    <n v="73"/>
    <s v="Male"/>
    <x v="40"/>
    <n v="97.9"/>
    <n v="7.4"/>
    <x v="3"/>
    <x v="0"/>
    <s v="Yes"/>
    <x v="0"/>
    <n v="81"/>
    <n v="94.6"/>
    <x v="0"/>
  </r>
  <r>
    <n v="74"/>
    <s v="Female"/>
    <x v="34"/>
    <n v="91.7"/>
    <n v="7.4"/>
    <x v="0"/>
    <x v="0"/>
    <s v="Yes"/>
    <x v="0"/>
    <n v="75.099999999999994"/>
    <n v="77.599999999999994"/>
    <x v="3"/>
  </r>
  <r>
    <n v="75"/>
    <s v="Male"/>
    <x v="43"/>
    <n v="83.6"/>
    <n v="6.9"/>
    <x v="1"/>
    <x v="0"/>
    <s v="Yes"/>
    <x v="0"/>
    <n v="69.3"/>
    <n v="99.9"/>
    <x v="0"/>
  </r>
  <r>
    <n v="76"/>
    <s v="Female"/>
    <x v="16"/>
    <n v="72.8"/>
    <n v="7.7"/>
    <x v="3"/>
    <x v="1"/>
    <s v="No"/>
    <x v="0"/>
    <n v="49.6"/>
    <n v="64.400000000000006"/>
    <x v="2"/>
  </r>
  <r>
    <n v="77"/>
    <s v="Female"/>
    <x v="44"/>
    <n v="82.9"/>
    <n v="7.4"/>
    <x v="1"/>
    <x v="0"/>
    <s v="Yes"/>
    <x v="0"/>
    <n v="60.3"/>
    <n v="71.900000000000006"/>
    <x v="3"/>
  </r>
  <r>
    <n v="78"/>
    <s v="Female"/>
    <x v="45"/>
    <n v="76.5"/>
    <n v="5.3"/>
    <x v="0"/>
    <x v="0"/>
    <s v="Yes"/>
    <x v="0"/>
    <n v="72.3"/>
    <n v="79.3"/>
    <x v="3"/>
  </r>
  <r>
    <n v="79"/>
    <s v="Male"/>
    <x v="12"/>
    <n v="79.2"/>
    <n v="7.8"/>
    <x v="1"/>
    <x v="0"/>
    <s v="Yes"/>
    <x v="1"/>
    <n v="60.6"/>
    <n v="74.900000000000006"/>
    <x v="3"/>
  </r>
  <r>
    <n v="80"/>
    <s v="Female"/>
    <x v="46"/>
    <n v="90.9"/>
    <n v="7.9"/>
    <x v="1"/>
    <x v="0"/>
    <s v="No"/>
    <x v="0"/>
    <n v="72.400000000000006"/>
    <n v="87.4"/>
    <x v="1"/>
  </r>
  <r>
    <n v="81"/>
    <s v="Male"/>
    <x v="17"/>
    <n v="100"/>
    <n v="5.9"/>
    <x v="1"/>
    <x v="0"/>
    <s v="No"/>
    <x v="0"/>
    <n v="78.2"/>
    <n v="97.6"/>
    <x v="0"/>
  </r>
  <r>
    <n v="82"/>
    <s v="Female"/>
    <x v="21"/>
    <n v="88.9"/>
    <n v="6.8"/>
    <x v="0"/>
    <x v="0"/>
    <s v="Yes"/>
    <x v="0"/>
    <n v="81.599999999999994"/>
    <n v="74.5"/>
    <x v="3"/>
  </r>
  <r>
    <n v="83"/>
    <s v="Male"/>
    <x v="40"/>
    <n v="73"/>
    <n v="7.6"/>
    <x v="1"/>
    <x v="0"/>
    <s v="No"/>
    <x v="1"/>
    <n v="55.3"/>
    <n v="64.099999999999994"/>
    <x v="2"/>
  </r>
  <r>
    <n v="84"/>
    <s v="Female"/>
    <x v="3"/>
    <n v="89.4"/>
    <n v="6.5"/>
    <x v="0"/>
    <x v="0"/>
    <s v="No"/>
    <x v="0"/>
    <n v="96.4"/>
    <n v="90"/>
    <x v="0"/>
  </r>
  <r>
    <n v="85"/>
    <s v="Male"/>
    <x v="28"/>
    <n v="97"/>
    <n v="8.1"/>
    <x v="0"/>
    <x v="0"/>
    <s v="Yes"/>
    <x v="1"/>
    <n v="79.2"/>
    <n v="99.3"/>
    <x v="0"/>
  </r>
  <r>
    <n v="86"/>
    <s v="Male"/>
    <x v="35"/>
    <n v="78.900000000000006"/>
    <n v="9.6"/>
    <x v="0"/>
    <x v="0"/>
    <s v="Yes"/>
    <x v="1"/>
    <n v="70"/>
    <n v="63.9"/>
    <x v="2"/>
  </r>
  <r>
    <n v="87"/>
    <s v="Female"/>
    <x v="23"/>
    <n v="83.7"/>
    <n v="5.9"/>
    <x v="0"/>
    <x v="0"/>
    <s v="No"/>
    <x v="0"/>
    <n v="83.1"/>
    <n v="79"/>
    <x v="3"/>
  </r>
  <r>
    <n v="88"/>
    <s v="Male"/>
    <x v="31"/>
    <n v="85.1"/>
    <n v="5.0999999999999996"/>
    <x v="3"/>
    <x v="0"/>
    <s v="No"/>
    <x v="0"/>
    <n v="98.4"/>
    <n v="100"/>
    <x v="0"/>
  </r>
  <r>
    <n v="89"/>
    <s v="Female"/>
    <x v="47"/>
    <n v="77.2"/>
    <n v="7.2"/>
    <x v="1"/>
    <x v="0"/>
    <s v="No"/>
    <x v="0"/>
    <n v="52.7"/>
    <n v="78.900000000000006"/>
    <x v="3"/>
  </r>
  <r>
    <n v="90"/>
    <s v="Female"/>
    <x v="28"/>
    <n v="91.5"/>
    <n v="7.7"/>
    <x v="0"/>
    <x v="0"/>
    <s v="No"/>
    <x v="1"/>
    <n v="67.3"/>
    <n v="84.5"/>
    <x v="1"/>
  </r>
  <r>
    <n v="91"/>
    <s v="Female"/>
    <x v="17"/>
    <n v="83.8"/>
    <n v="6.5"/>
    <x v="1"/>
    <x v="0"/>
    <s v="No"/>
    <x v="0"/>
    <n v="41.5"/>
    <n v="71.7"/>
    <x v="3"/>
  </r>
  <r>
    <n v="92"/>
    <s v="Female"/>
    <x v="0"/>
    <n v="89.2"/>
    <n v="8.5"/>
    <x v="1"/>
    <x v="0"/>
    <s v="Yes"/>
    <x v="1"/>
    <n v="72.3"/>
    <n v="86.3"/>
    <x v="1"/>
  </r>
  <r>
    <n v="93"/>
    <s v="Female"/>
    <x v="48"/>
    <n v="76.099999999999994"/>
    <n v="5.2"/>
    <x v="0"/>
    <x v="0"/>
    <s v="Yes"/>
    <x v="0"/>
    <n v="74.400000000000006"/>
    <n v="98.3"/>
    <x v="0"/>
  </r>
  <r>
    <n v="94"/>
    <s v="Female"/>
    <x v="49"/>
    <n v="80.599999999999994"/>
    <n v="7.6"/>
    <x v="0"/>
    <x v="0"/>
    <s v="Yes"/>
    <x v="0"/>
    <n v="69.5"/>
    <n v="88.1"/>
    <x v="1"/>
  </r>
  <r>
    <n v="95"/>
    <s v="Female"/>
    <x v="12"/>
    <n v="92.2"/>
    <n v="6.1"/>
    <x v="4"/>
    <x v="0"/>
    <s v="Yes"/>
    <x v="0"/>
    <n v="62.1"/>
    <n v="99.6"/>
    <x v="0"/>
  </r>
  <r>
    <n v="96"/>
    <s v="Female"/>
    <x v="32"/>
    <n v="81.3"/>
    <n v="8.9"/>
    <x v="0"/>
    <x v="0"/>
    <s v="No"/>
    <x v="0"/>
    <n v="45.4"/>
    <n v="74.8"/>
    <x v="3"/>
  </r>
  <r>
    <n v="97"/>
    <s v="Female"/>
    <x v="14"/>
    <n v="100"/>
    <n v="9.1999999999999993"/>
    <x v="2"/>
    <x v="0"/>
    <s v="No"/>
    <x v="1"/>
    <n v="74.5"/>
    <n v="87.4"/>
    <x v="1"/>
  </r>
  <r>
    <n v="98"/>
    <s v="Female"/>
    <x v="45"/>
    <n v="81"/>
    <n v="5.9"/>
    <x v="1"/>
    <x v="1"/>
    <s v="No"/>
    <x v="0"/>
    <n v="87.5"/>
    <n v="88.5"/>
    <x v="1"/>
  </r>
  <r>
    <n v="99"/>
    <s v="Female"/>
    <x v="24"/>
    <n v="87.2"/>
    <n v="6.1"/>
    <x v="1"/>
    <x v="0"/>
    <s v="Yes"/>
    <x v="1"/>
    <n v="62.9"/>
    <n v="65.2"/>
    <x v="2"/>
  </r>
  <r>
    <n v="100"/>
    <s v="Male"/>
    <x v="37"/>
    <n v="94.3"/>
    <n v="7.8"/>
    <x v="1"/>
    <x v="1"/>
    <s v="No"/>
    <x v="0"/>
    <n v="75.3"/>
    <n v="79.2"/>
    <x v="3"/>
  </r>
  <r>
    <n v="101"/>
    <s v="Male"/>
    <x v="44"/>
    <n v="70.8"/>
    <n v="6.3"/>
    <x v="1"/>
    <x v="0"/>
    <s v="Yes"/>
    <x v="0"/>
    <n v="51.2"/>
    <n v="74.5"/>
    <x v="3"/>
  </r>
  <r>
    <n v="102"/>
    <s v="Female"/>
    <x v="18"/>
    <n v="67.400000000000006"/>
    <n v="6.7"/>
    <x v="0"/>
    <x v="0"/>
    <s v="Yes"/>
    <x v="1"/>
    <n v="75.5"/>
    <n v="66.3"/>
    <x v="2"/>
  </r>
  <r>
    <n v="103"/>
    <s v="Female"/>
    <x v="47"/>
    <n v="69.7"/>
    <n v="6.8"/>
    <x v="0"/>
    <x v="1"/>
    <s v="No"/>
    <x v="0"/>
    <n v="65.3"/>
    <n v="89.5"/>
    <x v="1"/>
  </r>
  <r>
    <n v="104"/>
    <s v="Female"/>
    <x v="50"/>
    <n v="97.6"/>
    <n v="4.5"/>
    <x v="1"/>
    <x v="0"/>
    <s v="No"/>
    <x v="0"/>
    <n v="60.9"/>
    <n v="92.7"/>
    <x v="0"/>
  </r>
  <r>
    <n v="105"/>
    <s v="Female"/>
    <x v="15"/>
    <n v="79.5"/>
    <n v="6.8"/>
    <x v="2"/>
    <x v="0"/>
    <s v="No"/>
    <x v="1"/>
    <n v="60.9"/>
    <n v="87.2"/>
    <x v="1"/>
  </r>
  <r>
    <n v="106"/>
    <s v="Female"/>
    <x v="51"/>
    <n v="100"/>
    <n v="6"/>
    <x v="3"/>
    <x v="0"/>
    <s v="Yes"/>
    <x v="1"/>
    <n v="65.3"/>
    <n v="92.5"/>
    <x v="0"/>
  </r>
  <r>
    <n v="107"/>
    <s v="Female"/>
    <x v="16"/>
    <n v="79.400000000000006"/>
    <n v="6.2"/>
    <x v="1"/>
    <x v="0"/>
    <s v="Yes"/>
    <x v="1"/>
    <n v="74.599999999999994"/>
    <n v="75.7"/>
    <x v="3"/>
  </r>
  <r>
    <n v="108"/>
    <s v="Female"/>
    <x v="4"/>
    <n v="86.8"/>
    <n v="8.5"/>
    <x v="1"/>
    <x v="0"/>
    <s v="Yes"/>
    <x v="0"/>
    <n v="54.3"/>
    <n v="74"/>
    <x v="3"/>
  </r>
  <r>
    <n v="109"/>
    <s v="Female"/>
    <x v="25"/>
    <n v="100"/>
    <n v="5.3"/>
    <x v="1"/>
    <x v="0"/>
    <s v="Yes"/>
    <x v="0"/>
    <n v="65.2"/>
    <n v="100"/>
    <x v="0"/>
  </r>
  <r>
    <n v="110"/>
    <s v="Male"/>
    <x v="20"/>
    <n v="100"/>
    <n v="7.8"/>
    <x v="1"/>
    <x v="1"/>
    <s v="No"/>
    <x v="1"/>
    <n v="69.5"/>
    <n v="75.5"/>
    <x v="3"/>
  </r>
  <r>
    <n v="111"/>
    <s v="Female"/>
    <x v="18"/>
    <n v="100"/>
    <n v="6.5"/>
    <x v="1"/>
    <x v="0"/>
    <s v="No"/>
    <x v="1"/>
    <n v="56.8"/>
    <n v="61.7"/>
    <x v="2"/>
  </r>
  <r>
    <n v="112"/>
    <s v="Male"/>
    <x v="46"/>
    <n v="97.1"/>
    <n v="6.5"/>
    <x v="0"/>
    <x v="1"/>
    <s v="No"/>
    <x v="0"/>
    <n v="91.6"/>
    <n v="91.4"/>
    <x v="0"/>
  </r>
  <r>
    <n v="113"/>
    <s v="Female"/>
    <x v="4"/>
    <n v="95.2"/>
    <n v="7.7"/>
    <x v="1"/>
    <x v="1"/>
    <s v="Yes"/>
    <x v="0"/>
    <n v="59.8"/>
    <n v="72.7"/>
    <x v="3"/>
  </r>
  <r>
    <n v="114"/>
    <s v="Female"/>
    <x v="37"/>
    <n v="90.9"/>
    <n v="7.2"/>
    <x v="0"/>
    <x v="0"/>
    <s v="No"/>
    <x v="0"/>
    <n v="62"/>
    <n v="74.599999999999994"/>
    <x v="3"/>
  </r>
  <r>
    <n v="115"/>
    <s v="Male"/>
    <x v="2"/>
    <n v="92.8"/>
    <n v="7.5"/>
    <x v="2"/>
    <x v="0"/>
    <s v="Yes"/>
    <x v="0"/>
    <n v="58.3"/>
    <n v="96.5"/>
    <x v="0"/>
  </r>
  <r>
    <n v="116"/>
    <s v="Female"/>
    <x v="43"/>
    <n v="79.5"/>
    <n v="8"/>
    <x v="3"/>
    <x v="1"/>
    <s v="No"/>
    <x v="1"/>
    <n v="91.6"/>
    <n v="94.5"/>
    <x v="0"/>
  </r>
  <r>
    <n v="117"/>
    <s v="Male"/>
    <x v="37"/>
    <n v="76.8"/>
    <n v="6.4"/>
    <x v="2"/>
    <x v="1"/>
    <s v="Yes"/>
    <x v="0"/>
    <n v="76.599999999999994"/>
    <n v="59.3"/>
    <x v="4"/>
  </r>
  <r>
    <n v="118"/>
    <s v="Female"/>
    <x v="20"/>
    <n v="85"/>
    <n v="6.1"/>
    <x v="1"/>
    <x v="0"/>
    <s v="Yes"/>
    <x v="0"/>
    <n v="58.8"/>
    <n v="96.2"/>
    <x v="0"/>
  </r>
  <r>
    <n v="119"/>
    <s v="Female"/>
    <x v="44"/>
    <n v="83.3"/>
    <n v="5.5"/>
    <x v="0"/>
    <x v="0"/>
    <s v="Yes"/>
    <x v="1"/>
    <n v="83.3"/>
    <n v="75.3"/>
    <x v="3"/>
  </r>
  <r>
    <n v="120"/>
    <s v="Male"/>
    <x v="9"/>
    <n v="80.5"/>
    <n v="5.8"/>
    <x v="0"/>
    <x v="0"/>
    <s v="No"/>
    <x v="0"/>
    <n v="72.400000000000006"/>
    <n v="73.3"/>
    <x v="3"/>
  </r>
  <r>
    <n v="121"/>
    <s v="Female"/>
    <x v="3"/>
    <n v="92"/>
    <n v="10"/>
    <x v="1"/>
    <x v="0"/>
    <s v="Yes"/>
    <x v="0"/>
    <n v="73.099999999999994"/>
    <n v="95.8"/>
    <x v="0"/>
  </r>
  <r>
    <n v="122"/>
    <s v="Male"/>
    <x v="4"/>
    <n v="94.6"/>
    <n v="8.3000000000000007"/>
    <x v="1"/>
    <x v="0"/>
    <s v="Yes"/>
    <x v="0"/>
    <n v="65.900000000000006"/>
    <n v="81"/>
    <x v="1"/>
  </r>
  <r>
    <n v="123"/>
    <s v="Female"/>
    <x v="16"/>
    <n v="85.9"/>
    <n v="5.2"/>
    <x v="3"/>
    <x v="0"/>
    <s v="No"/>
    <x v="1"/>
    <n v="61"/>
    <n v="76.5"/>
    <x v="3"/>
  </r>
  <r>
    <n v="124"/>
    <s v="Male"/>
    <x v="42"/>
    <n v="99.8"/>
    <n v="5.2"/>
    <x v="0"/>
    <x v="0"/>
    <s v="Yes"/>
    <x v="0"/>
    <n v="74.099999999999994"/>
    <n v="88.1"/>
    <x v="1"/>
  </r>
  <r>
    <n v="125"/>
    <s v="Male"/>
    <x v="52"/>
    <n v="73.599999999999994"/>
    <n v="7.4"/>
    <x v="0"/>
    <x v="0"/>
    <s v="Yes"/>
    <x v="0"/>
    <n v="63.5"/>
    <n v="88.1"/>
    <x v="1"/>
  </r>
  <r>
    <n v="126"/>
    <s v="Female"/>
    <x v="38"/>
    <n v="83.1"/>
    <n v="7.5"/>
    <x v="0"/>
    <x v="0"/>
    <s v="Yes"/>
    <x v="0"/>
    <n v="91.8"/>
    <n v="92.1"/>
    <x v="0"/>
  </r>
  <r>
    <n v="127"/>
    <s v="Female"/>
    <x v="28"/>
    <n v="77.8"/>
    <n v="7.5"/>
    <x v="0"/>
    <x v="0"/>
    <s v="Yes"/>
    <x v="0"/>
    <n v="54.8"/>
    <n v="85.2"/>
    <x v="1"/>
  </r>
  <r>
    <n v="128"/>
    <s v="Male"/>
    <x v="32"/>
    <n v="66.3"/>
    <n v="6.5"/>
    <x v="1"/>
    <x v="0"/>
    <s v="No"/>
    <x v="1"/>
    <n v="88.4"/>
    <n v="63"/>
    <x v="2"/>
  </r>
  <r>
    <n v="129"/>
    <s v="Female"/>
    <x v="3"/>
    <n v="84.2"/>
    <n v="6.6"/>
    <x v="1"/>
    <x v="0"/>
    <s v="No"/>
    <x v="1"/>
    <n v="68.7"/>
    <n v="81.099999999999994"/>
    <x v="1"/>
  </r>
  <r>
    <n v="130"/>
    <s v="Female"/>
    <x v="21"/>
    <n v="83.8"/>
    <n v="7.2"/>
    <x v="1"/>
    <x v="0"/>
    <s v="Yes"/>
    <x v="0"/>
    <n v="73.599999999999994"/>
    <n v="87.1"/>
    <x v="1"/>
  </r>
  <r>
    <n v="131"/>
    <s v="Female"/>
    <x v="20"/>
    <n v="100"/>
    <n v="6.9"/>
    <x v="1"/>
    <x v="0"/>
    <s v="No"/>
    <x v="1"/>
    <n v="80"/>
    <n v="100"/>
    <x v="0"/>
  </r>
  <r>
    <n v="132"/>
    <s v="Male"/>
    <x v="41"/>
    <n v="91.3"/>
    <n v="4.0999999999999996"/>
    <x v="2"/>
    <x v="0"/>
    <s v="Yes"/>
    <x v="0"/>
    <n v="62.4"/>
    <n v="75.7"/>
    <x v="3"/>
  </r>
  <r>
    <n v="133"/>
    <s v="Male"/>
    <x v="16"/>
    <n v="74.8"/>
    <n v="6.5"/>
    <x v="0"/>
    <x v="1"/>
    <s v="Yes"/>
    <x v="0"/>
    <n v="80.400000000000006"/>
    <n v="77.3"/>
    <x v="3"/>
  </r>
  <r>
    <n v="134"/>
    <s v="Male"/>
    <x v="21"/>
    <n v="100"/>
    <n v="5.8"/>
    <x v="3"/>
    <x v="0"/>
    <s v="Yes"/>
    <x v="0"/>
    <n v="37.5"/>
    <n v="85.6"/>
    <x v="1"/>
  </r>
  <r>
    <n v="135"/>
    <s v="Male"/>
    <x v="53"/>
    <n v="97.2"/>
    <n v="7"/>
    <x v="1"/>
    <x v="0"/>
    <s v="Yes"/>
    <x v="0"/>
    <n v="61.4"/>
    <n v="80.8"/>
    <x v="1"/>
  </r>
  <r>
    <n v="136"/>
    <s v="Male"/>
    <x v="20"/>
    <n v="90.8"/>
    <n v="10"/>
    <x v="0"/>
    <x v="0"/>
    <s v="Yes"/>
    <x v="0"/>
    <n v="58.9"/>
    <n v="94.5"/>
    <x v="0"/>
  </r>
  <r>
    <n v="137"/>
    <s v="Male"/>
    <x v="44"/>
    <n v="82.7"/>
    <n v="7.2"/>
    <x v="1"/>
    <x v="1"/>
    <s v="No"/>
    <x v="1"/>
    <n v="55"/>
    <n v="59.7"/>
    <x v="4"/>
  </r>
  <r>
    <n v="138"/>
    <s v="Male"/>
    <x v="17"/>
    <n v="75.400000000000006"/>
    <n v="6.4"/>
    <x v="1"/>
    <x v="0"/>
    <s v="No"/>
    <x v="0"/>
    <n v="67.400000000000006"/>
    <n v="80.900000000000006"/>
    <x v="1"/>
  </r>
  <r>
    <n v="139"/>
    <s v="Male"/>
    <x v="24"/>
    <n v="81.3"/>
    <n v="7.9"/>
    <x v="1"/>
    <x v="0"/>
    <s v="Yes"/>
    <x v="0"/>
    <n v="74.599999999999994"/>
    <n v="82.6"/>
    <x v="1"/>
  </r>
  <r>
    <n v="140"/>
    <s v="Male"/>
    <x v="54"/>
    <n v="95.9"/>
    <n v="7.4"/>
    <x v="3"/>
    <x v="0"/>
    <s v="No"/>
    <x v="0"/>
    <n v="78.400000000000006"/>
    <n v="80.2"/>
    <x v="1"/>
  </r>
  <r>
    <n v="141"/>
    <s v="Female"/>
    <x v="14"/>
    <n v="100"/>
    <n v="7.3"/>
    <x v="3"/>
    <x v="0"/>
    <s v="No"/>
    <x v="1"/>
    <n v="72.900000000000006"/>
    <n v="82.4"/>
    <x v="1"/>
  </r>
  <r>
    <n v="142"/>
    <s v="Male"/>
    <x v="16"/>
    <n v="100"/>
    <n v="7.5"/>
    <x v="0"/>
    <x v="0"/>
    <s v="No"/>
    <x v="0"/>
    <n v="62"/>
    <n v="75.900000000000006"/>
    <x v="3"/>
  </r>
  <r>
    <n v="143"/>
    <s v="Female"/>
    <x v="52"/>
    <n v="80.099999999999994"/>
    <n v="9.3000000000000007"/>
    <x v="0"/>
    <x v="0"/>
    <s v="No"/>
    <x v="1"/>
    <n v="74.400000000000006"/>
    <n v="88.5"/>
    <x v="1"/>
  </r>
  <r>
    <n v="144"/>
    <s v="Female"/>
    <x v="32"/>
    <n v="73.8"/>
    <n v="5.4"/>
    <x v="2"/>
    <x v="0"/>
    <s v="Yes"/>
    <x v="1"/>
    <n v="71.5"/>
    <n v="69.599999999999994"/>
    <x v="2"/>
  </r>
  <r>
    <n v="145"/>
    <s v="Female"/>
    <x v="30"/>
    <n v="86.4"/>
    <n v="7.4"/>
    <x v="1"/>
    <x v="0"/>
    <s v="No"/>
    <x v="1"/>
    <n v="81.2"/>
    <n v="86.8"/>
    <x v="1"/>
  </r>
  <r>
    <n v="146"/>
    <s v="Male"/>
    <x v="53"/>
    <n v="67.3"/>
    <n v="5.7"/>
    <x v="1"/>
    <x v="0"/>
    <s v="No"/>
    <x v="0"/>
    <n v="79.3"/>
    <n v="65.2"/>
    <x v="2"/>
  </r>
  <r>
    <n v="147"/>
    <s v="Male"/>
    <x v="38"/>
    <n v="88.2"/>
    <n v="7.5"/>
    <x v="1"/>
    <x v="0"/>
    <s v="No"/>
    <x v="1"/>
    <n v="70.400000000000006"/>
    <n v="82"/>
    <x v="1"/>
  </r>
  <r>
    <n v="148"/>
    <s v="Male"/>
    <x v="34"/>
    <n v="83.5"/>
    <n v="5.7"/>
    <x v="3"/>
    <x v="0"/>
    <s v="Yes"/>
    <x v="1"/>
    <n v="59.2"/>
    <n v="46.8"/>
    <x v="4"/>
  </r>
  <r>
    <n v="149"/>
    <s v="Male"/>
    <x v="44"/>
    <n v="80.3"/>
    <n v="6.3"/>
    <x v="2"/>
    <x v="0"/>
    <s v="Yes"/>
    <x v="1"/>
    <n v="62.2"/>
    <n v="68.599999999999994"/>
    <x v="2"/>
  </r>
  <r>
    <n v="150"/>
    <s v="Female"/>
    <x v="16"/>
    <n v="69.099999999999994"/>
    <n v="6.4"/>
    <x v="1"/>
    <x v="0"/>
    <s v="Yes"/>
    <x v="1"/>
    <n v="63.4"/>
    <n v="69.2"/>
    <x v="2"/>
  </r>
  <r>
    <n v="151"/>
    <s v="Male"/>
    <x v="4"/>
    <n v="90.1"/>
    <n v="8"/>
    <x v="4"/>
    <x v="0"/>
    <s v="Yes"/>
    <x v="0"/>
    <n v="66.2"/>
    <n v="84.7"/>
    <x v="1"/>
  </r>
  <r>
    <n v="152"/>
    <s v="Male"/>
    <x v="55"/>
    <n v="79.7"/>
    <n v="7.9"/>
    <x v="3"/>
    <x v="0"/>
    <s v="Yes"/>
    <x v="1"/>
    <n v="73.2"/>
    <n v="75.900000000000006"/>
    <x v="3"/>
  </r>
  <r>
    <n v="153"/>
    <s v="Male"/>
    <x v="29"/>
    <n v="73.3"/>
    <n v="5.3"/>
    <x v="1"/>
    <x v="0"/>
    <s v="No"/>
    <x v="1"/>
    <n v="78.599999999999994"/>
    <n v="84.7"/>
    <x v="1"/>
  </r>
  <r>
    <n v="154"/>
    <s v="Male"/>
    <x v="3"/>
    <n v="56.3"/>
    <n v="6.9"/>
    <x v="0"/>
    <x v="1"/>
    <s v="Yes"/>
    <x v="0"/>
    <n v="69.400000000000006"/>
    <n v="75.7"/>
    <x v="3"/>
  </r>
  <r>
    <n v="155"/>
    <s v="Male"/>
    <x v="50"/>
    <n v="84.7"/>
    <n v="5.9"/>
    <x v="0"/>
    <x v="0"/>
    <s v="No"/>
    <x v="0"/>
    <n v="70.2"/>
    <n v="95.4"/>
    <x v="0"/>
  </r>
  <r>
    <n v="156"/>
    <s v="Female"/>
    <x v="22"/>
    <n v="100"/>
    <n v="5.3"/>
    <x v="2"/>
    <x v="0"/>
    <s v="Yes"/>
    <x v="0"/>
    <n v="71.7"/>
    <n v="87.6"/>
    <x v="1"/>
  </r>
  <r>
    <n v="157"/>
    <s v="Male"/>
    <x v="20"/>
    <n v="100"/>
    <n v="6.5"/>
    <x v="1"/>
    <x v="0"/>
    <s v="No"/>
    <x v="0"/>
    <n v="63.8"/>
    <n v="87.7"/>
    <x v="1"/>
  </r>
  <r>
    <n v="158"/>
    <s v="Female"/>
    <x v="51"/>
    <n v="80.400000000000006"/>
    <n v="6.4"/>
    <x v="3"/>
    <x v="0"/>
    <s v="Yes"/>
    <x v="1"/>
    <n v="58.9"/>
    <n v="89.3"/>
    <x v="1"/>
  </r>
  <r>
    <n v="159"/>
    <s v="Male"/>
    <x v="35"/>
    <n v="79"/>
    <n v="9.6999999999999993"/>
    <x v="1"/>
    <x v="0"/>
    <s v="Yes"/>
    <x v="0"/>
    <n v="48.9"/>
    <n v="63.7"/>
    <x v="2"/>
  </r>
  <r>
    <n v="160"/>
    <s v="Female"/>
    <x v="42"/>
    <n v="89.7"/>
    <n v="7.3"/>
    <x v="3"/>
    <x v="0"/>
    <s v="No"/>
    <x v="1"/>
    <n v="61.7"/>
    <n v="74"/>
    <x v="3"/>
  </r>
  <r>
    <n v="161"/>
    <s v="Male"/>
    <x v="17"/>
    <n v="75"/>
    <n v="5.0999999999999996"/>
    <x v="0"/>
    <x v="0"/>
    <s v="No"/>
    <x v="0"/>
    <n v="75.7"/>
    <n v="87.9"/>
    <x v="1"/>
  </r>
  <r>
    <n v="162"/>
    <s v="Male"/>
    <x v="46"/>
    <n v="88"/>
    <n v="6.1"/>
    <x v="0"/>
    <x v="0"/>
    <s v="No"/>
    <x v="0"/>
    <n v="61.6"/>
    <n v="76.599999999999994"/>
    <x v="3"/>
  </r>
  <r>
    <n v="163"/>
    <s v="Female"/>
    <x v="39"/>
    <n v="92.7"/>
    <n v="8"/>
    <x v="3"/>
    <x v="0"/>
    <s v="Yes"/>
    <x v="1"/>
    <n v="67.099999999999994"/>
    <n v="97.3"/>
    <x v="0"/>
  </r>
  <r>
    <n v="164"/>
    <s v="Female"/>
    <x v="3"/>
    <n v="97.3"/>
    <n v="9.3000000000000007"/>
    <x v="3"/>
    <x v="0"/>
    <s v="Yes"/>
    <x v="0"/>
    <n v="75.599999999999994"/>
    <n v="90.2"/>
    <x v="0"/>
  </r>
  <r>
    <n v="165"/>
    <s v="Female"/>
    <x v="16"/>
    <n v="84"/>
    <n v="4.9000000000000004"/>
    <x v="4"/>
    <x v="0"/>
    <s v="No"/>
    <x v="0"/>
    <n v="76.2"/>
    <n v="88.7"/>
    <x v="1"/>
  </r>
  <r>
    <n v="166"/>
    <s v="Male"/>
    <x v="12"/>
    <n v="83"/>
    <n v="4.5"/>
    <x v="1"/>
    <x v="0"/>
    <s v="Yes"/>
    <x v="0"/>
    <n v="57"/>
    <n v="84.8"/>
    <x v="1"/>
  </r>
  <r>
    <n v="167"/>
    <s v="Female"/>
    <x v="8"/>
    <n v="76.2"/>
    <n v="9"/>
    <x v="3"/>
    <x v="0"/>
    <s v="No"/>
    <x v="0"/>
    <n v="82"/>
    <n v="100"/>
    <x v="0"/>
  </r>
  <r>
    <n v="168"/>
    <s v="Male"/>
    <x v="52"/>
    <n v="76.7"/>
    <n v="7.3"/>
    <x v="1"/>
    <x v="0"/>
    <s v="Yes"/>
    <x v="0"/>
    <n v="83.5"/>
    <n v="82.1"/>
    <x v="1"/>
  </r>
  <r>
    <n v="169"/>
    <s v="Male"/>
    <x v="0"/>
    <n v="82.7"/>
    <n v="5.8"/>
    <x v="0"/>
    <x v="1"/>
    <s v="Yes"/>
    <x v="1"/>
    <n v="56.4"/>
    <n v="75.099999999999994"/>
    <x v="3"/>
  </r>
  <r>
    <n v="170"/>
    <s v="Female"/>
    <x v="55"/>
    <n v="88.7"/>
    <n v="7.4"/>
    <x v="0"/>
    <x v="1"/>
    <s v="Yes"/>
    <x v="1"/>
    <n v="60.1"/>
    <n v="78.099999999999994"/>
    <x v="3"/>
  </r>
  <r>
    <n v="171"/>
    <s v="Female"/>
    <x v="9"/>
    <n v="94.1"/>
    <n v="3.6"/>
    <x v="0"/>
    <x v="0"/>
    <s v="Yes"/>
    <x v="0"/>
    <n v="84.3"/>
    <n v="92.9"/>
    <x v="0"/>
  </r>
  <r>
    <n v="172"/>
    <s v="Male"/>
    <x v="55"/>
    <n v="77"/>
    <n v="6.8"/>
    <x v="0"/>
    <x v="0"/>
    <s v="No"/>
    <x v="0"/>
    <n v="68.2"/>
    <n v="71.8"/>
    <x v="3"/>
  </r>
  <r>
    <n v="173"/>
    <s v="Male"/>
    <x v="39"/>
    <n v="99.9"/>
    <n v="7.2"/>
    <x v="2"/>
    <x v="0"/>
    <s v="No"/>
    <x v="0"/>
    <n v="43.4"/>
    <n v="78.5"/>
    <x v="3"/>
  </r>
  <r>
    <n v="174"/>
    <s v="Female"/>
    <x v="55"/>
    <n v="82.3"/>
    <n v="7.9"/>
    <x v="1"/>
    <x v="0"/>
    <s v="Yes"/>
    <x v="0"/>
    <n v="53.2"/>
    <n v="82.6"/>
    <x v="1"/>
  </r>
  <r>
    <n v="175"/>
    <s v="Female"/>
    <x v="52"/>
    <n v="84.8"/>
    <n v="5.6"/>
    <x v="3"/>
    <x v="0"/>
    <s v="No"/>
    <x v="0"/>
    <n v="67"/>
    <n v="79.2"/>
    <x v="3"/>
  </r>
  <r>
    <n v="176"/>
    <s v="Female"/>
    <x v="26"/>
    <n v="77.5"/>
    <n v="6.9"/>
    <x v="0"/>
    <x v="0"/>
    <s v="Yes"/>
    <x v="0"/>
    <n v="56"/>
    <n v="89.7"/>
    <x v="1"/>
  </r>
  <r>
    <n v="177"/>
    <s v="Male"/>
    <x v="50"/>
    <n v="60.8"/>
    <n v="5.7"/>
    <x v="1"/>
    <x v="0"/>
    <s v="Yes"/>
    <x v="0"/>
    <n v="65"/>
    <n v="89.2"/>
    <x v="1"/>
  </r>
  <r>
    <n v="178"/>
    <s v="Male"/>
    <x v="56"/>
    <n v="93.8"/>
    <n v="7.1"/>
    <x v="1"/>
    <x v="1"/>
    <s v="Yes"/>
    <x v="0"/>
    <n v="70.400000000000006"/>
    <n v="81.7"/>
    <x v="1"/>
  </r>
  <r>
    <n v="179"/>
    <s v="Male"/>
    <x v="8"/>
    <n v="92.4"/>
    <n v="5.7"/>
    <x v="2"/>
    <x v="0"/>
    <s v="No"/>
    <x v="0"/>
    <n v="87.5"/>
    <n v="96.7"/>
    <x v="0"/>
  </r>
  <r>
    <n v="180"/>
    <s v="Male"/>
    <x v="55"/>
    <n v="82.2"/>
    <n v="6.3"/>
    <x v="4"/>
    <x v="0"/>
    <s v="No"/>
    <x v="0"/>
    <n v="66.5"/>
    <n v="73.7"/>
    <x v="3"/>
  </r>
  <r>
    <n v="181"/>
    <s v="Male"/>
    <x v="35"/>
    <n v="85.7"/>
    <n v="5.6"/>
    <x v="2"/>
    <x v="0"/>
    <s v="No"/>
    <x v="0"/>
    <n v="82.9"/>
    <n v="77.099999999999994"/>
    <x v="3"/>
  </r>
  <r>
    <n v="182"/>
    <s v="Male"/>
    <x v="41"/>
    <n v="90.2"/>
    <n v="7.6"/>
    <x v="2"/>
    <x v="0"/>
    <s v="No"/>
    <x v="1"/>
    <n v="87.1"/>
    <n v="76.5"/>
    <x v="3"/>
  </r>
  <r>
    <n v="183"/>
    <s v="Female"/>
    <x v="57"/>
    <n v="69.400000000000006"/>
    <n v="7.8"/>
    <x v="1"/>
    <x v="0"/>
    <s v="No"/>
    <x v="0"/>
    <n v="87.2"/>
    <n v="73.2"/>
    <x v="3"/>
  </r>
  <r>
    <n v="184"/>
    <s v="Male"/>
    <x v="56"/>
    <n v="79.7"/>
    <n v="6.5"/>
    <x v="0"/>
    <x v="0"/>
    <s v="No"/>
    <x v="0"/>
    <n v="73.400000000000006"/>
    <n v="83.6"/>
    <x v="1"/>
  </r>
  <r>
    <n v="185"/>
    <s v="Male"/>
    <x v="15"/>
    <n v="92.9"/>
    <n v="6.8"/>
    <x v="3"/>
    <x v="0"/>
    <s v="No"/>
    <x v="0"/>
    <n v="46.4"/>
    <n v="85.8"/>
    <x v="1"/>
  </r>
  <r>
    <n v="186"/>
    <s v="Male"/>
    <x v="47"/>
    <n v="72.5"/>
    <n v="5.0999999999999996"/>
    <x v="0"/>
    <x v="0"/>
    <s v="No"/>
    <x v="0"/>
    <n v="75.5"/>
    <n v="95.7"/>
    <x v="0"/>
  </r>
  <r>
    <n v="187"/>
    <s v="Female"/>
    <x v="0"/>
    <n v="87.9"/>
    <n v="6.4"/>
    <x v="0"/>
    <x v="0"/>
    <s v="Yes"/>
    <x v="0"/>
    <n v="82.6"/>
    <n v="89.2"/>
    <x v="1"/>
  </r>
  <r>
    <n v="188"/>
    <s v="Male"/>
    <x v="46"/>
    <n v="71.400000000000006"/>
    <n v="6.7"/>
    <x v="0"/>
    <x v="0"/>
    <s v="Yes"/>
    <x v="1"/>
    <n v="69"/>
    <n v="83.1"/>
    <x v="1"/>
  </r>
  <r>
    <n v="189"/>
    <s v="Male"/>
    <x v="58"/>
    <n v="89.7"/>
    <n v="9.9"/>
    <x v="0"/>
    <x v="0"/>
    <s v="Yes"/>
    <x v="0"/>
    <n v="90.9"/>
    <n v="100"/>
    <x v="0"/>
  </r>
  <r>
    <n v="190"/>
    <s v="Female"/>
    <x v="35"/>
    <n v="84.6"/>
    <n v="5.5"/>
    <x v="0"/>
    <x v="0"/>
    <s v="Yes"/>
    <x v="0"/>
    <n v="80.3"/>
    <n v="67.2"/>
    <x v="2"/>
  </r>
  <r>
    <n v="191"/>
    <s v="Male"/>
    <x v="52"/>
    <n v="68.8"/>
    <n v="8.6"/>
    <x v="1"/>
    <x v="0"/>
    <s v="No"/>
    <x v="0"/>
    <n v="76.8"/>
    <n v="84.6"/>
    <x v="1"/>
  </r>
  <r>
    <n v="192"/>
    <s v="Male"/>
    <x v="58"/>
    <n v="96.6"/>
    <n v="8"/>
    <x v="0"/>
    <x v="0"/>
    <s v="Yes"/>
    <x v="1"/>
    <n v="83"/>
    <n v="100"/>
    <x v="0"/>
  </r>
  <r>
    <n v="193"/>
    <s v="Male"/>
    <x v="59"/>
    <n v="77.7"/>
    <n v="7.1"/>
    <x v="0"/>
    <x v="0"/>
    <s v="No"/>
    <x v="0"/>
    <n v="74"/>
    <n v="75.2"/>
    <x v="3"/>
  </r>
  <r>
    <n v="194"/>
    <s v="Male"/>
    <x v="49"/>
    <n v="76.900000000000006"/>
    <n v="8.9"/>
    <x v="0"/>
    <x v="0"/>
    <s v="Yes"/>
    <x v="0"/>
    <n v="40.1"/>
    <n v="81.099999999999994"/>
    <x v="1"/>
  </r>
  <r>
    <n v="195"/>
    <s v="Male"/>
    <x v="0"/>
    <n v="87"/>
    <n v="7.2"/>
    <x v="1"/>
    <x v="0"/>
    <s v="Yes"/>
    <x v="0"/>
    <n v="64"/>
    <n v="96.5"/>
    <x v="0"/>
  </r>
  <r>
    <n v="196"/>
    <s v="Female"/>
    <x v="55"/>
    <n v="96.5"/>
    <n v="7.3"/>
    <x v="3"/>
    <x v="1"/>
    <s v="Yes"/>
    <x v="0"/>
    <n v="84.4"/>
    <n v="79.8"/>
    <x v="3"/>
  </r>
  <r>
    <n v="197"/>
    <s v="Female"/>
    <x v="17"/>
    <n v="74.8"/>
    <n v="6.7"/>
    <x v="1"/>
    <x v="0"/>
    <s v="No"/>
    <x v="0"/>
    <n v="60.3"/>
    <n v="73.400000000000006"/>
    <x v="3"/>
  </r>
  <r>
    <n v="198"/>
    <s v="Female"/>
    <x v="60"/>
    <n v="85.6"/>
    <n v="8.3000000000000007"/>
    <x v="0"/>
    <x v="0"/>
    <s v="Yes"/>
    <x v="0"/>
    <n v="67.3"/>
    <n v="92.2"/>
    <x v="0"/>
  </r>
  <r>
    <n v="199"/>
    <s v="Male"/>
    <x v="45"/>
    <n v="89.3"/>
    <n v="8.1"/>
    <x v="3"/>
    <x v="0"/>
    <s v="Yes"/>
    <x v="0"/>
    <n v="57.5"/>
    <n v="87.3"/>
    <x v="1"/>
  </r>
  <r>
    <n v="200"/>
    <s v="Male"/>
    <x v="52"/>
    <n v="91.9"/>
    <n v="6"/>
    <x v="0"/>
    <x v="1"/>
    <s v="No"/>
    <x v="0"/>
    <n v="91.4"/>
    <n v="92.5"/>
    <x v="0"/>
  </r>
  <r>
    <n v="201"/>
    <s v="Male"/>
    <x v="9"/>
    <n v="86.8"/>
    <n v="5.2"/>
    <x v="1"/>
    <x v="0"/>
    <s v="No"/>
    <x v="1"/>
    <n v="90.2"/>
    <n v="94.6"/>
    <x v="0"/>
  </r>
  <r>
    <n v="202"/>
    <s v="Female"/>
    <x v="4"/>
    <n v="81.3"/>
    <n v="6.6"/>
    <x v="3"/>
    <x v="0"/>
    <s v="Yes"/>
    <x v="0"/>
    <n v="59.4"/>
    <n v="75.5"/>
    <x v="3"/>
  </r>
  <r>
    <n v="203"/>
    <s v="Male"/>
    <x v="58"/>
    <n v="76.7"/>
    <n v="5.8"/>
    <x v="0"/>
    <x v="0"/>
    <s v="Yes"/>
    <x v="0"/>
    <n v="71.8"/>
    <n v="85.3"/>
    <x v="1"/>
  </r>
  <r>
    <n v="204"/>
    <s v="Male"/>
    <x v="4"/>
    <n v="85.9"/>
    <n v="6.7"/>
    <x v="3"/>
    <x v="0"/>
    <s v="Yes"/>
    <x v="0"/>
    <n v="61.8"/>
    <n v="76.7"/>
    <x v="3"/>
  </r>
  <r>
    <n v="205"/>
    <s v="Female"/>
    <x v="16"/>
    <n v="74.3"/>
    <n v="8.3000000000000007"/>
    <x v="3"/>
    <x v="0"/>
    <s v="No"/>
    <x v="0"/>
    <n v="77.400000000000006"/>
    <n v="86.8"/>
    <x v="1"/>
  </r>
  <r>
    <n v="206"/>
    <s v="Male"/>
    <x v="9"/>
    <n v="55.8"/>
    <n v="6.3"/>
    <x v="0"/>
    <x v="0"/>
    <s v="Yes"/>
    <x v="1"/>
    <n v="76.099999999999994"/>
    <n v="61.1"/>
    <x v="2"/>
  </r>
  <r>
    <n v="207"/>
    <s v="Female"/>
    <x v="5"/>
    <n v="89.4"/>
    <n v="6.7"/>
    <x v="0"/>
    <x v="0"/>
    <s v="Yes"/>
    <x v="1"/>
    <n v="79.7"/>
    <n v="100"/>
    <x v="0"/>
  </r>
  <r>
    <n v="208"/>
    <s v="Female"/>
    <x v="0"/>
    <n v="94"/>
    <n v="6.9"/>
    <x v="1"/>
    <x v="1"/>
    <s v="Yes"/>
    <x v="0"/>
    <n v="74"/>
    <n v="90.9"/>
    <x v="0"/>
  </r>
  <r>
    <n v="209"/>
    <s v="Female"/>
    <x v="33"/>
    <n v="61.4"/>
    <n v="7.8"/>
    <x v="1"/>
    <x v="0"/>
    <s v="Yes"/>
    <x v="1"/>
    <n v="100"/>
    <n v="96.1"/>
    <x v="0"/>
  </r>
  <r>
    <n v="210"/>
    <s v="Male"/>
    <x v="40"/>
    <n v="74.900000000000006"/>
    <n v="4.0999999999999996"/>
    <x v="0"/>
    <x v="0"/>
    <s v="No"/>
    <x v="0"/>
    <n v="57.7"/>
    <n v="73.099999999999994"/>
    <x v="3"/>
  </r>
  <r>
    <n v="211"/>
    <s v="Male"/>
    <x v="28"/>
    <n v="91.2"/>
    <n v="6.1"/>
    <x v="0"/>
    <x v="0"/>
    <s v="Yes"/>
    <x v="0"/>
    <n v="49.5"/>
    <n v="81.2"/>
    <x v="1"/>
  </r>
  <r>
    <n v="212"/>
    <s v="Male"/>
    <x v="41"/>
    <n v="100"/>
    <n v="7.1"/>
    <x v="0"/>
    <x v="0"/>
    <s v="Yes"/>
    <x v="0"/>
    <n v="65.3"/>
    <n v="81.8"/>
    <x v="1"/>
  </r>
  <r>
    <n v="213"/>
    <s v="Male"/>
    <x v="9"/>
    <n v="85.2"/>
    <n v="8.1999999999999993"/>
    <x v="1"/>
    <x v="0"/>
    <s v="Yes"/>
    <x v="1"/>
    <n v="51.2"/>
    <n v="70"/>
    <x v="3"/>
  </r>
  <r>
    <n v="214"/>
    <s v="Male"/>
    <x v="39"/>
    <n v="77.7"/>
    <n v="6.2"/>
    <x v="1"/>
    <x v="0"/>
    <s v="Yes"/>
    <x v="1"/>
    <n v="52.1"/>
    <n v="78.5"/>
    <x v="3"/>
  </r>
  <r>
    <n v="215"/>
    <s v="Male"/>
    <x v="21"/>
    <n v="83.2"/>
    <n v="4.5"/>
    <x v="0"/>
    <x v="0"/>
    <s v="Yes"/>
    <x v="0"/>
    <n v="58"/>
    <n v="84.7"/>
    <x v="1"/>
  </r>
  <r>
    <n v="216"/>
    <s v="Male"/>
    <x v="32"/>
    <n v="98.7"/>
    <n v="7.5"/>
    <x v="1"/>
    <x v="0"/>
    <s v="No"/>
    <x v="0"/>
    <n v="58.9"/>
    <n v="74.7"/>
    <x v="3"/>
  </r>
  <r>
    <n v="217"/>
    <s v="Female"/>
    <x v="50"/>
    <n v="78.5"/>
    <n v="6"/>
    <x v="3"/>
    <x v="0"/>
    <s v="No"/>
    <x v="0"/>
    <n v="58.5"/>
    <n v="91.2"/>
    <x v="0"/>
  </r>
  <r>
    <n v="218"/>
    <s v="Male"/>
    <x v="11"/>
    <n v="77"/>
    <n v="5.4"/>
    <x v="1"/>
    <x v="0"/>
    <s v="No"/>
    <x v="0"/>
    <n v="76.2"/>
    <n v="93.4"/>
    <x v="0"/>
  </r>
  <r>
    <n v="219"/>
    <s v="Female"/>
    <x v="39"/>
    <n v="80.2"/>
    <n v="6.1"/>
    <x v="0"/>
    <x v="0"/>
    <s v="No"/>
    <x v="0"/>
    <n v="63.9"/>
    <n v="86.8"/>
    <x v="1"/>
  </r>
  <r>
    <n v="220"/>
    <s v="Male"/>
    <x v="1"/>
    <n v="75.5"/>
    <n v="6.6"/>
    <x v="2"/>
    <x v="0"/>
    <s v="No"/>
    <x v="0"/>
    <n v="67.8"/>
    <n v="100"/>
    <x v="0"/>
  </r>
  <r>
    <n v="221"/>
    <s v="Male"/>
    <x v="42"/>
    <n v="86.2"/>
    <n v="6.1"/>
    <x v="1"/>
    <x v="0"/>
    <s v="Yes"/>
    <x v="0"/>
    <n v="80.7"/>
    <n v="84.3"/>
    <x v="1"/>
  </r>
  <r>
    <n v="222"/>
    <s v="Male"/>
    <x v="61"/>
    <n v="100"/>
    <n v="4.2"/>
    <x v="0"/>
    <x v="1"/>
    <s v="No"/>
    <x v="0"/>
    <n v="60.8"/>
    <n v="71.5"/>
    <x v="3"/>
  </r>
  <r>
    <n v="223"/>
    <s v="Female"/>
    <x v="54"/>
    <n v="88.2"/>
    <n v="7.9"/>
    <x v="1"/>
    <x v="1"/>
    <s v="No"/>
    <x v="1"/>
    <n v="66.8"/>
    <n v="70.5"/>
    <x v="3"/>
  </r>
  <r>
    <n v="224"/>
    <s v="Female"/>
    <x v="51"/>
    <n v="82.5"/>
    <n v="8.3000000000000007"/>
    <x v="0"/>
    <x v="0"/>
    <s v="No"/>
    <x v="1"/>
    <n v="74.400000000000006"/>
    <n v="89.9"/>
    <x v="1"/>
  </r>
  <r>
    <n v="225"/>
    <s v="Female"/>
    <x v="30"/>
    <n v="82.1"/>
    <n v="7.6"/>
    <x v="0"/>
    <x v="0"/>
    <s v="Yes"/>
    <x v="0"/>
    <n v="46.7"/>
    <n v="81.099999999999994"/>
    <x v="1"/>
  </r>
  <r>
    <n v="226"/>
    <s v="Female"/>
    <x v="38"/>
    <n v="69.400000000000006"/>
    <n v="5.4"/>
    <x v="0"/>
    <x v="0"/>
    <s v="Yes"/>
    <x v="0"/>
    <n v="41.4"/>
    <n v="67.400000000000006"/>
    <x v="2"/>
  </r>
  <r>
    <n v="227"/>
    <s v="Male"/>
    <x v="52"/>
    <n v="93.8"/>
    <n v="6.6"/>
    <x v="0"/>
    <x v="0"/>
    <s v="No"/>
    <x v="1"/>
    <n v="74.2"/>
    <n v="82.2"/>
    <x v="1"/>
  </r>
  <r>
    <n v="228"/>
    <s v="Female"/>
    <x v="22"/>
    <n v="84.2"/>
    <n v="6.8"/>
    <x v="4"/>
    <x v="0"/>
    <s v="No"/>
    <x v="1"/>
    <n v="75.900000000000006"/>
    <n v="90"/>
    <x v="0"/>
  </r>
  <r>
    <n v="229"/>
    <s v="Male"/>
    <x v="62"/>
    <n v="83.2"/>
    <n v="7.5"/>
    <x v="1"/>
    <x v="0"/>
    <s v="No"/>
    <x v="0"/>
    <n v="94.8"/>
    <n v="100"/>
    <x v="0"/>
  </r>
  <r>
    <n v="230"/>
    <s v="Male"/>
    <x v="19"/>
    <n v="100"/>
    <n v="7.6"/>
    <x v="1"/>
    <x v="0"/>
    <s v="Yes"/>
    <x v="1"/>
    <n v="71.900000000000006"/>
    <n v="82.7"/>
    <x v="1"/>
  </r>
  <r>
    <n v="231"/>
    <s v="Female"/>
    <x v="19"/>
    <n v="88"/>
    <n v="5.9"/>
    <x v="4"/>
    <x v="0"/>
    <s v="Yes"/>
    <x v="0"/>
    <n v="79.8"/>
    <n v="98.3"/>
    <x v="0"/>
  </r>
  <r>
    <n v="232"/>
    <s v="Female"/>
    <x v="21"/>
    <n v="77.5"/>
    <n v="6.9"/>
    <x v="0"/>
    <x v="0"/>
    <s v="Yes"/>
    <x v="0"/>
    <n v="67.7"/>
    <n v="91.5"/>
    <x v="0"/>
  </r>
  <r>
    <n v="233"/>
    <s v="Female"/>
    <x v="5"/>
    <n v="80.7"/>
    <n v="7.3"/>
    <x v="4"/>
    <x v="0"/>
    <s v="No"/>
    <x v="0"/>
    <n v="73.599999999999994"/>
    <n v="82.2"/>
    <x v="1"/>
  </r>
  <r>
    <n v="234"/>
    <s v="Female"/>
    <x v="45"/>
    <n v="96.5"/>
    <n v="8.5"/>
    <x v="0"/>
    <x v="0"/>
    <s v="Yes"/>
    <x v="0"/>
    <n v="90"/>
    <n v="100"/>
    <x v="0"/>
  </r>
  <r>
    <n v="235"/>
    <s v="Female"/>
    <x v="42"/>
    <n v="86.1"/>
    <n v="7.6"/>
    <x v="3"/>
    <x v="0"/>
    <s v="Yes"/>
    <x v="0"/>
    <n v="44.5"/>
    <n v="80.2"/>
    <x v="1"/>
  </r>
  <r>
    <n v="236"/>
    <s v="Female"/>
    <x v="5"/>
    <n v="70.599999999999994"/>
    <n v="7.7"/>
    <x v="0"/>
    <x v="0"/>
    <s v="No"/>
    <x v="0"/>
    <n v="75"/>
    <n v="85.7"/>
    <x v="1"/>
  </r>
  <r>
    <n v="237"/>
    <s v="Female"/>
    <x v="1"/>
    <n v="94.2"/>
    <n v="6.9"/>
    <x v="3"/>
    <x v="0"/>
    <s v="Yes"/>
    <x v="0"/>
    <n v="95.6"/>
    <n v="100"/>
    <x v="0"/>
  </r>
  <r>
    <n v="238"/>
    <s v="Female"/>
    <x v="11"/>
    <n v="78.3"/>
    <n v="8.5"/>
    <x v="2"/>
    <x v="0"/>
    <s v="No"/>
    <x v="0"/>
    <n v="73.400000000000006"/>
    <n v="84.4"/>
    <x v="1"/>
  </r>
  <r>
    <n v="239"/>
    <s v="Male"/>
    <x v="36"/>
    <n v="100"/>
    <n v="7.3"/>
    <x v="0"/>
    <x v="0"/>
    <s v="Yes"/>
    <x v="0"/>
    <n v="89.8"/>
    <n v="100"/>
    <x v="0"/>
  </r>
  <r>
    <n v="240"/>
    <s v="Female"/>
    <x v="40"/>
    <n v="95.8"/>
    <n v="5.8"/>
    <x v="1"/>
    <x v="0"/>
    <s v="No"/>
    <x v="1"/>
    <n v="62.4"/>
    <n v="84.6"/>
    <x v="1"/>
  </r>
  <r>
    <n v="241"/>
    <s v="Female"/>
    <x v="41"/>
    <n v="80.5"/>
    <n v="8.5"/>
    <x v="1"/>
    <x v="0"/>
    <s v="No"/>
    <x v="1"/>
    <n v="69.599999999999994"/>
    <n v="80.599999999999994"/>
    <x v="1"/>
  </r>
  <r>
    <n v="242"/>
    <s v="Male"/>
    <x v="12"/>
    <n v="97.8"/>
    <n v="7.6"/>
    <x v="1"/>
    <x v="0"/>
    <s v="No"/>
    <x v="1"/>
    <n v="70.400000000000006"/>
    <n v="85.1"/>
    <x v="1"/>
  </r>
  <r>
    <n v="243"/>
    <s v="Female"/>
    <x v="16"/>
    <n v="85.7"/>
    <n v="6.3"/>
    <x v="1"/>
    <x v="0"/>
    <s v="No"/>
    <x v="1"/>
    <n v="43.4"/>
    <n v="69.400000000000006"/>
    <x v="2"/>
  </r>
  <r>
    <n v="244"/>
    <s v="Male"/>
    <x v="33"/>
    <n v="93.5"/>
    <n v="6.2"/>
    <x v="1"/>
    <x v="0"/>
    <s v="Yes"/>
    <x v="0"/>
    <n v="56"/>
    <n v="92.2"/>
    <x v="0"/>
  </r>
  <r>
    <n v="245"/>
    <s v="Male"/>
    <x v="53"/>
    <n v="89.8"/>
    <n v="7.2"/>
    <x v="0"/>
    <x v="0"/>
    <s v="Yes"/>
    <x v="0"/>
    <n v="56.8"/>
    <n v="76.2"/>
    <x v="3"/>
  </r>
  <r>
    <n v="246"/>
    <s v="Female"/>
    <x v="25"/>
    <n v="76.5"/>
    <n v="7.4"/>
    <x v="0"/>
    <x v="0"/>
    <s v="Yes"/>
    <x v="0"/>
    <n v="79.900000000000006"/>
    <n v="100"/>
    <x v="0"/>
  </r>
  <r>
    <n v="247"/>
    <s v="Male"/>
    <x v="12"/>
    <n v="78.599999999999994"/>
    <n v="7"/>
    <x v="0"/>
    <x v="0"/>
    <s v="No"/>
    <x v="0"/>
    <n v="80.5"/>
    <n v="92.2"/>
    <x v="0"/>
  </r>
  <r>
    <n v="248"/>
    <s v="Male"/>
    <x v="55"/>
    <n v="95.3"/>
    <n v="7.2"/>
    <x v="0"/>
    <x v="1"/>
    <s v="No"/>
    <x v="0"/>
    <n v="73.900000000000006"/>
    <n v="76.5"/>
    <x v="3"/>
  </r>
  <r>
    <n v="249"/>
    <s v="Male"/>
    <x v="41"/>
    <n v="81.7"/>
    <n v="8.8000000000000007"/>
    <x v="1"/>
    <x v="0"/>
    <s v="Yes"/>
    <x v="0"/>
    <n v="79.900000000000006"/>
    <n v="82.7"/>
    <x v="1"/>
  </r>
  <r>
    <n v="250"/>
    <s v="Male"/>
    <x v="53"/>
    <n v="81"/>
    <n v="8.1"/>
    <x v="1"/>
    <x v="0"/>
    <s v="No"/>
    <x v="0"/>
    <n v="68"/>
    <n v="67.099999999999994"/>
    <x v="2"/>
  </r>
  <r>
    <n v="251"/>
    <s v="Female"/>
    <x v="58"/>
    <n v="75.400000000000006"/>
    <n v="7"/>
    <x v="1"/>
    <x v="0"/>
    <s v="Yes"/>
    <x v="1"/>
    <n v="84.4"/>
    <n v="88.4"/>
    <x v="1"/>
  </r>
  <r>
    <n v="252"/>
    <s v="Male"/>
    <x v="16"/>
    <n v="89.2"/>
    <n v="7.9"/>
    <x v="0"/>
    <x v="0"/>
    <s v="No"/>
    <x v="1"/>
    <n v="70.099999999999994"/>
    <n v="91"/>
    <x v="0"/>
  </r>
  <r>
    <n v="253"/>
    <s v="Female"/>
    <x v="61"/>
    <n v="100"/>
    <n v="5.6"/>
    <x v="1"/>
    <x v="1"/>
    <s v="No"/>
    <x v="0"/>
    <n v="70.7"/>
    <n v="75.8"/>
    <x v="3"/>
  </r>
  <r>
    <n v="254"/>
    <s v="Male"/>
    <x v="61"/>
    <n v="74.3"/>
    <n v="7.3"/>
    <x v="1"/>
    <x v="0"/>
    <s v="Yes"/>
    <x v="0"/>
    <n v="66.8"/>
    <n v="88.3"/>
    <x v="1"/>
  </r>
  <r>
    <n v="255"/>
    <s v="Male"/>
    <x v="56"/>
    <n v="85.2"/>
    <n v="9"/>
    <x v="0"/>
    <x v="0"/>
    <s v="Yes"/>
    <x v="1"/>
    <n v="78.2"/>
    <n v="87.6"/>
    <x v="1"/>
  </r>
  <r>
    <n v="256"/>
    <s v="Male"/>
    <x v="47"/>
    <n v="99.1"/>
    <n v="6.5"/>
    <x v="3"/>
    <x v="0"/>
    <s v="Yes"/>
    <x v="1"/>
    <n v="64.900000000000006"/>
    <n v="96.8"/>
    <x v="0"/>
  </r>
  <r>
    <n v="257"/>
    <s v="Male"/>
    <x v="28"/>
    <n v="84.2"/>
    <n v="5.8"/>
    <x v="1"/>
    <x v="0"/>
    <s v="No"/>
    <x v="0"/>
    <n v="81.7"/>
    <n v="86.7"/>
    <x v="1"/>
  </r>
  <r>
    <n v="258"/>
    <s v="Female"/>
    <x v="23"/>
    <n v="89.5"/>
    <n v="6"/>
    <x v="0"/>
    <x v="0"/>
    <s v="Yes"/>
    <x v="1"/>
    <n v="56.4"/>
    <n v="63.7"/>
    <x v="2"/>
  </r>
  <r>
    <n v="259"/>
    <s v="Female"/>
    <x v="28"/>
    <n v="74.400000000000006"/>
    <n v="5.5"/>
    <x v="3"/>
    <x v="0"/>
    <s v="Yes"/>
    <x v="0"/>
    <n v="56.8"/>
    <n v="73"/>
    <x v="3"/>
  </r>
  <r>
    <n v="260"/>
    <s v="Male"/>
    <x v="28"/>
    <n v="89.3"/>
    <n v="5.9"/>
    <x v="3"/>
    <x v="0"/>
    <s v="Yes"/>
    <x v="0"/>
    <n v="78.2"/>
    <n v="94.3"/>
    <x v="0"/>
  </r>
  <r>
    <n v="261"/>
    <s v="Male"/>
    <x v="35"/>
    <n v="83.1"/>
    <n v="6.4"/>
    <x v="2"/>
    <x v="0"/>
    <s v="Yes"/>
    <x v="0"/>
    <n v="68.900000000000006"/>
    <n v="71.3"/>
    <x v="3"/>
  </r>
  <r>
    <n v="262"/>
    <s v="Female"/>
    <x v="38"/>
    <n v="94.9"/>
    <n v="5.0999999999999996"/>
    <x v="1"/>
    <x v="0"/>
    <s v="Yes"/>
    <x v="0"/>
    <n v="64.599999999999994"/>
    <n v="79.7"/>
    <x v="3"/>
  </r>
  <r>
    <n v="263"/>
    <s v="Male"/>
    <x v="46"/>
    <n v="96.9"/>
    <n v="6.8"/>
    <x v="1"/>
    <x v="1"/>
    <s v="No"/>
    <x v="0"/>
    <n v="80.7"/>
    <n v="81.2"/>
    <x v="1"/>
  </r>
  <r>
    <n v="264"/>
    <s v="Male"/>
    <x v="30"/>
    <n v="100"/>
    <n v="7.9"/>
    <x v="4"/>
    <x v="0"/>
    <s v="Yes"/>
    <x v="0"/>
    <n v="62.7"/>
    <n v="91.1"/>
    <x v="0"/>
  </r>
  <r>
    <n v="265"/>
    <s v="Male"/>
    <x v="1"/>
    <n v="90.8"/>
    <n v="5.7"/>
    <x v="0"/>
    <x v="0"/>
    <s v="No"/>
    <x v="0"/>
    <n v="67.599999999999994"/>
    <n v="97.5"/>
    <x v="0"/>
  </r>
  <r>
    <n v="266"/>
    <s v="Female"/>
    <x v="49"/>
    <n v="88.3"/>
    <n v="8.6"/>
    <x v="0"/>
    <x v="0"/>
    <s v="No"/>
    <x v="0"/>
    <n v="86.8"/>
    <n v="100"/>
    <x v="0"/>
  </r>
  <r>
    <n v="267"/>
    <s v="Female"/>
    <x v="28"/>
    <n v="86.9"/>
    <n v="7.4"/>
    <x v="3"/>
    <x v="0"/>
    <s v="Yes"/>
    <x v="1"/>
    <n v="88.5"/>
    <n v="81.599999999999994"/>
    <x v="1"/>
  </r>
  <r>
    <n v="268"/>
    <s v="Female"/>
    <x v="22"/>
    <n v="81.5"/>
    <n v="8"/>
    <x v="3"/>
    <x v="0"/>
    <s v="Yes"/>
    <x v="0"/>
    <n v="88.9"/>
    <n v="83.9"/>
    <x v="1"/>
  </r>
  <r>
    <n v="269"/>
    <s v="Male"/>
    <x v="63"/>
    <n v="88.4"/>
    <n v="6"/>
    <x v="2"/>
    <x v="0"/>
    <s v="No"/>
    <x v="0"/>
    <n v="66.599999999999994"/>
    <n v="100"/>
    <x v="0"/>
  </r>
  <r>
    <n v="270"/>
    <s v="Male"/>
    <x v="16"/>
    <n v="82"/>
    <n v="7.8"/>
    <x v="2"/>
    <x v="0"/>
    <s v="No"/>
    <x v="0"/>
    <n v="84.8"/>
    <n v="80.2"/>
    <x v="1"/>
  </r>
  <r>
    <n v="271"/>
    <s v="Female"/>
    <x v="15"/>
    <n v="86.7"/>
    <n v="5.5"/>
    <x v="3"/>
    <x v="0"/>
    <s v="Yes"/>
    <x v="0"/>
    <n v="58.6"/>
    <n v="75.099999999999994"/>
    <x v="3"/>
  </r>
  <r>
    <n v="272"/>
    <s v="Female"/>
    <x v="15"/>
    <n v="98.2"/>
    <n v="7.9"/>
    <x v="1"/>
    <x v="1"/>
    <s v="Yes"/>
    <x v="0"/>
    <n v="59.1"/>
    <n v="78.2"/>
    <x v="3"/>
  </r>
  <r>
    <n v="273"/>
    <s v="Female"/>
    <x v="45"/>
    <n v="74.900000000000006"/>
    <n v="7"/>
    <x v="4"/>
    <x v="0"/>
    <s v="Yes"/>
    <x v="1"/>
    <n v="41.8"/>
    <n v="64.7"/>
    <x v="2"/>
  </r>
  <r>
    <n v="274"/>
    <s v="Female"/>
    <x v="12"/>
    <n v="96.4"/>
    <n v="7.5"/>
    <x v="1"/>
    <x v="0"/>
    <s v="No"/>
    <x v="0"/>
    <n v="90.1"/>
    <n v="97.8"/>
    <x v="0"/>
  </r>
  <r>
    <n v="275"/>
    <s v="Male"/>
    <x v="3"/>
    <n v="98.2"/>
    <n v="5.4"/>
    <x v="1"/>
    <x v="1"/>
    <s v="Yes"/>
    <x v="0"/>
    <n v="59.6"/>
    <n v="74.400000000000006"/>
    <x v="3"/>
  </r>
  <r>
    <n v="276"/>
    <s v="Female"/>
    <x v="40"/>
    <n v="83.8"/>
    <n v="5.7"/>
    <x v="4"/>
    <x v="0"/>
    <s v="Yes"/>
    <x v="0"/>
    <n v="68.5"/>
    <n v="76.400000000000006"/>
    <x v="3"/>
  </r>
  <r>
    <n v="277"/>
    <s v="Male"/>
    <x v="15"/>
    <n v="63.8"/>
    <n v="7.5"/>
    <x v="1"/>
    <x v="0"/>
    <s v="No"/>
    <x v="0"/>
    <n v="59.1"/>
    <n v="76.3"/>
    <x v="3"/>
  </r>
  <r>
    <n v="278"/>
    <s v="Female"/>
    <x v="40"/>
    <n v="78.900000000000006"/>
    <n v="5.7"/>
    <x v="1"/>
    <x v="0"/>
    <s v="No"/>
    <x v="1"/>
    <n v="78.3"/>
    <n v="88.3"/>
    <x v="1"/>
  </r>
  <r>
    <n v="279"/>
    <s v="Male"/>
    <x v="24"/>
    <n v="98"/>
    <n v="7.4"/>
    <x v="1"/>
    <x v="0"/>
    <s v="Yes"/>
    <x v="0"/>
    <n v="65.5"/>
    <n v="94"/>
    <x v="0"/>
  </r>
  <r>
    <n v="280"/>
    <s v="Female"/>
    <x v="19"/>
    <n v="84.8"/>
    <n v="5.2"/>
    <x v="4"/>
    <x v="1"/>
    <s v="Yes"/>
    <x v="1"/>
    <n v="54.3"/>
    <n v="58.8"/>
    <x v="4"/>
  </r>
  <r>
    <n v="281"/>
    <s v="Female"/>
    <x v="28"/>
    <n v="75"/>
    <n v="7.8"/>
    <x v="0"/>
    <x v="1"/>
    <s v="No"/>
    <x v="0"/>
    <n v="75.3"/>
    <n v="81.099999999999994"/>
    <x v="1"/>
  </r>
  <r>
    <n v="282"/>
    <s v="Female"/>
    <x v="25"/>
    <n v="80"/>
    <n v="5.3"/>
    <x v="3"/>
    <x v="0"/>
    <s v="Yes"/>
    <x v="0"/>
    <n v="52.8"/>
    <n v="84.5"/>
    <x v="1"/>
  </r>
  <r>
    <n v="283"/>
    <s v="Female"/>
    <x v="35"/>
    <n v="93.4"/>
    <n v="7.5"/>
    <x v="1"/>
    <x v="0"/>
    <s v="Yes"/>
    <x v="1"/>
    <n v="60"/>
    <n v="69.900000000000006"/>
    <x v="2"/>
  </r>
  <r>
    <n v="284"/>
    <s v="Male"/>
    <x v="33"/>
    <n v="90.5"/>
    <n v="7.6"/>
    <x v="3"/>
    <x v="0"/>
    <s v="No"/>
    <x v="0"/>
    <n v="44.7"/>
    <n v="82.2"/>
    <x v="1"/>
  </r>
  <r>
    <n v="285"/>
    <s v="Female"/>
    <x v="13"/>
    <n v="82.6"/>
    <n v="6"/>
    <x v="3"/>
    <x v="0"/>
    <s v="Yes"/>
    <x v="1"/>
    <n v="52.9"/>
    <n v="83.3"/>
    <x v="1"/>
  </r>
  <r>
    <n v="286"/>
    <s v="Male"/>
    <x v="35"/>
    <n v="81.3"/>
    <n v="7.5"/>
    <x v="1"/>
    <x v="0"/>
    <s v="No"/>
    <x v="1"/>
    <n v="72.099999999999994"/>
    <n v="69.5"/>
    <x v="2"/>
  </r>
  <r>
    <n v="287"/>
    <s v="Male"/>
    <x v="56"/>
    <n v="81.099999999999994"/>
    <n v="7.1"/>
    <x v="0"/>
    <x v="0"/>
    <s v="No"/>
    <x v="0"/>
    <n v="46.4"/>
    <n v="68.5"/>
    <x v="2"/>
  </r>
  <r>
    <n v="288"/>
    <s v="Male"/>
    <x v="55"/>
    <n v="75.8"/>
    <n v="6.2"/>
    <x v="1"/>
    <x v="1"/>
    <s v="Yes"/>
    <x v="0"/>
    <n v="52.2"/>
    <n v="61.5"/>
    <x v="2"/>
  </r>
  <r>
    <n v="289"/>
    <s v="Male"/>
    <x v="37"/>
    <n v="100"/>
    <n v="5.6"/>
    <x v="2"/>
    <x v="1"/>
    <s v="Yes"/>
    <x v="0"/>
    <n v="70"/>
    <n v="72.3"/>
    <x v="3"/>
  </r>
  <r>
    <n v="290"/>
    <s v="Female"/>
    <x v="42"/>
    <n v="81.8"/>
    <n v="4.4000000000000004"/>
    <x v="0"/>
    <x v="0"/>
    <s v="No"/>
    <x v="0"/>
    <n v="63.5"/>
    <n v="74.099999999999994"/>
    <x v="3"/>
  </r>
  <r>
    <n v="291"/>
    <s v="Male"/>
    <x v="22"/>
    <n v="97.2"/>
    <n v="7.2"/>
    <x v="2"/>
    <x v="0"/>
    <s v="No"/>
    <x v="0"/>
    <n v="93.9"/>
    <n v="94.9"/>
    <x v="0"/>
  </r>
  <r>
    <n v="292"/>
    <s v="Male"/>
    <x v="27"/>
    <n v="100"/>
    <n v="4.9000000000000004"/>
    <x v="1"/>
    <x v="0"/>
    <s v="No"/>
    <x v="0"/>
    <n v="92"/>
    <n v="100"/>
    <x v="0"/>
  </r>
  <r>
    <n v="293"/>
    <s v="Male"/>
    <x v="2"/>
    <n v="95"/>
    <n v="6.9"/>
    <x v="3"/>
    <x v="0"/>
    <s v="No"/>
    <x v="1"/>
    <n v="59.6"/>
    <n v="84.5"/>
    <x v="1"/>
  </r>
  <r>
    <n v="294"/>
    <s v="Female"/>
    <x v="13"/>
    <n v="80.7"/>
    <n v="6.5"/>
    <x v="3"/>
    <x v="0"/>
    <s v="Yes"/>
    <x v="1"/>
    <n v="76.7"/>
    <n v="93.7"/>
    <x v="0"/>
  </r>
  <r>
    <n v="295"/>
    <s v="Female"/>
    <x v="21"/>
    <n v="89"/>
    <n v="7.6"/>
    <x v="3"/>
    <x v="0"/>
    <s v="No"/>
    <x v="0"/>
    <n v="79"/>
    <n v="100"/>
    <x v="0"/>
  </r>
  <r>
    <n v="296"/>
    <s v="Female"/>
    <x v="22"/>
    <n v="84.8"/>
    <n v="6.4"/>
    <x v="2"/>
    <x v="0"/>
    <s v="Yes"/>
    <x v="0"/>
    <n v="62.8"/>
    <n v="81.599999999999994"/>
    <x v="1"/>
  </r>
  <r>
    <n v="297"/>
    <s v="Female"/>
    <x v="40"/>
    <n v="76"/>
    <n v="6.4"/>
    <x v="0"/>
    <x v="0"/>
    <s v="Yes"/>
    <x v="0"/>
    <n v="52.1"/>
    <n v="70.900000000000006"/>
    <x v="3"/>
  </r>
  <r>
    <n v="298"/>
    <s v="Male"/>
    <x v="5"/>
    <n v="88.2"/>
    <n v="7.7"/>
    <x v="1"/>
    <x v="0"/>
    <s v="Yes"/>
    <x v="0"/>
    <n v="69.900000000000006"/>
    <n v="89.6"/>
    <x v="1"/>
  </r>
  <r>
    <n v="299"/>
    <s v="Male"/>
    <x v="34"/>
    <n v="73.2"/>
    <n v="7.2"/>
    <x v="3"/>
    <x v="1"/>
    <s v="Yes"/>
    <x v="0"/>
    <n v="67.900000000000006"/>
    <n v="69.2"/>
    <x v="2"/>
  </r>
  <r>
    <n v="300"/>
    <s v="Female"/>
    <x v="21"/>
    <n v="96.9"/>
    <n v="7.2"/>
    <x v="3"/>
    <x v="0"/>
    <s v="No"/>
    <x v="1"/>
    <n v="64.8"/>
    <n v="82.3"/>
    <x v="1"/>
  </r>
  <r>
    <n v="301"/>
    <s v="Male"/>
    <x v="28"/>
    <n v="80.400000000000006"/>
    <n v="7.4"/>
    <x v="0"/>
    <x v="0"/>
    <s v="Yes"/>
    <x v="1"/>
    <n v="75.3"/>
    <n v="80.900000000000006"/>
    <x v="1"/>
  </r>
  <r>
    <n v="302"/>
    <s v="Male"/>
    <x v="55"/>
    <n v="87"/>
    <n v="5"/>
    <x v="1"/>
    <x v="0"/>
    <s v="Yes"/>
    <x v="0"/>
    <n v="61"/>
    <n v="82.4"/>
    <x v="1"/>
  </r>
  <r>
    <n v="303"/>
    <s v="Male"/>
    <x v="21"/>
    <n v="87.8"/>
    <n v="7.7"/>
    <x v="0"/>
    <x v="0"/>
    <s v="Yes"/>
    <x v="0"/>
    <n v="56.2"/>
    <n v="91"/>
    <x v="0"/>
  </r>
  <r>
    <n v="304"/>
    <s v="Female"/>
    <x v="5"/>
    <n v="82.4"/>
    <n v="7.5"/>
    <x v="1"/>
    <x v="1"/>
    <s v="No"/>
    <x v="0"/>
    <n v="71.3"/>
    <n v="81.599999999999994"/>
    <x v="1"/>
  </r>
  <r>
    <n v="305"/>
    <s v="Female"/>
    <x v="56"/>
    <n v="90.9"/>
    <n v="5.6"/>
    <x v="0"/>
    <x v="0"/>
    <s v="No"/>
    <x v="1"/>
    <n v="74.599999999999994"/>
    <n v="83.2"/>
    <x v="1"/>
  </r>
  <r>
    <n v="306"/>
    <s v="Male"/>
    <x v="49"/>
    <n v="80.3"/>
    <n v="6.5"/>
    <x v="0"/>
    <x v="0"/>
    <s v="Yes"/>
    <x v="0"/>
    <n v="55.9"/>
    <n v="80.7"/>
    <x v="1"/>
  </r>
  <r>
    <n v="307"/>
    <s v="Female"/>
    <x v="18"/>
    <n v="93.7"/>
    <n v="6.8"/>
    <x v="3"/>
    <x v="0"/>
    <s v="Yes"/>
    <x v="1"/>
    <n v="81.099999999999994"/>
    <n v="87.2"/>
    <x v="1"/>
  </r>
  <r>
    <n v="308"/>
    <s v="Female"/>
    <x v="17"/>
    <n v="71.5"/>
    <n v="6.6"/>
    <x v="1"/>
    <x v="0"/>
    <s v="Yes"/>
    <x v="1"/>
    <n v="48.8"/>
    <n v="72.8"/>
    <x v="3"/>
  </r>
  <r>
    <n v="309"/>
    <s v="Female"/>
    <x v="17"/>
    <n v="86.3"/>
    <n v="7.2"/>
    <x v="0"/>
    <x v="0"/>
    <s v="No"/>
    <x v="0"/>
    <n v="63.1"/>
    <n v="85.2"/>
    <x v="1"/>
  </r>
  <r>
    <n v="310"/>
    <s v="Female"/>
    <x v="56"/>
    <n v="100"/>
    <n v="8.5"/>
    <x v="1"/>
    <x v="0"/>
    <s v="No"/>
    <x v="1"/>
    <n v="66.900000000000006"/>
    <n v="83.3"/>
    <x v="1"/>
  </r>
  <r>
    <n v="311"/>
    <s v="Female"/>
    <x v="0"/>
    <n v="75"/>
    <n v="8.1"/>
    <x v="1"/>
    <x v="0"/>
    <s v="Yes"/>
    <x v="0"/>
    <n v="62.4"/>
    <n v="82.6"/>
    <x v="1"/>
  </r>
  <r>
    <n v="312"/>
    <s v="Male"/>
    <x v="61"/>
    <n v="78.2"/>
    <n v="5.2"/>
    <x v="3"/>
    <x v="0"/>
    <s v="No"/>
    <x v="1"/>
    <n v="63.2"/>
    <n v="63.4"/>
    <x v="2"/>
  </r>
  <r>
    <n v="313"/>
    <s v="Female"/>
    <x v="2"/>
    <n v="90.1"/>
    <n v="7.5"/>
    <x v="2"/>
    <x v="0"/>
    <s v="Yes"/>
    <x v="0"/>
    <n v="92.5"/>
    <n v="100"/>
    <x v="0"/>
  </r>
  <r>
    <n v="314"/>
    <s v="Male"/>
    <x v="46"/>
    <n v="86.8"/>
    <n v="8.4"/>
    <x v="0"/>
    <x v="0"/>
    <s v="No"/>
    <x v="0"/>
    <n v="59.8"/>
    <n v="79.400000000000006"/>
    <x v="3"/>
  </r>
  <r>
    <n v="315"/>
    <s v="Male"/>
    <x v="40"/>
    <n v="88.5"/>
    <n v="7.3"/>
    <x v="3"/>
    <x v="0"/>
    <s v="Yes"/>
    <x v="0"/>
    <n v="99.3"/>
    <n v="100"/>
    <x v="0"/>
  </r>
  <r>
    <n v="316"/>
    <s v="Female"/>
    <x v="33"/>
    <n v="89.9"/>
    <n v="8.1"/>
    <x v="4"/>
    <x v="0"/>
    <s v="Yes"/>
    <x v="0"/>
    <n v="75.2"/>
    <n v="100"/>
    <x v="0"/>
  </r>
  <r>
    <n v="317"/>
    <s v="Male"/>
    <x v="24"/>
    <n v="91.3"/>
    <n v="9.1999999999999993"/>
    <x v="3"/>
    <x v="1"/>
    <s v="Yes"/>
    <x v="1"/>
    <n v="71.099999999999994"/>
    <n v="72.900000000000006"/>
    <x v="3"/>
  </r>
  <r>
    <n v="318"/>
    <s v="Male"/>
    <x v="37"/>
    <n v="96.1"/>
    <n v="8"/>
    <x v="1"/>
    <x v="1"/>
    <s v="Yes"/>
    <x v="0"/>
    <n v="75.7"/>
    <n v="79.2"/>
    <x v="3"/>
  </r>
  <r>
    <n v="319"/>
    <s v="Male"/>
    <x v="23"/>
    <n v="89.1"/>
    <n v="7.1"/>
    <x v="2"/>
    <x v="0"/>
    <s v="No"/>
    <x v="0"/>
    <n v="100"/>
    <n v="84.2"/>
    <x v="1"/>
  </r>
  <r>
    <n v="320"/>
    <s v="Female"/>
    <x v="17"/>
    <n v="82.6"/>
    <n v="8.1"/>
    <x v="0"/>
    <x v="0"/>
    <s v="Yes"/>
    <x v="1"/>
    <n v="58.1"/>
    <n v="80.7"/>
    <x v="1"/>
  </r>
  <r>
    <n v="321"/>
    <s v="Female"/>
    <x v="61"/>
    <n v="91.7"/>
    <n v="7"/>
    <x v="1"/>
    <x v="0"/>
    <s v="No"/>
    <x v="0"/>
    <n v="56.6"/>
    <n v="85.3"/>
    <x v="1"/>
  </r>
  <r>
    <n v="322"/>
    <s v="Male"/>
    <x v="27"/>
    <n v="100"/>
    <n v="6.8"/>
    <x v="1"/>
    <x v="0"/>
    <s v="No"/>
    <x v="1"/>
    <n v="60.9"/>
    <n v="93.1"/>
    <x v="0"/>
  </r>
  <r>
    <n v="323"/>
    <s v="Female"/>
    <x v="35"/>
    <n v="83.7"/>
    <n v="6.4"/>
    <x v="0"/>
    <x v="0"/>
    <s v="Yes"/>
    <x v="0"/>
    <n v="70.400000000000006"/>
    <n v="73.5"/>
    <x v="3"/>
  </r>
  <r>
    <n v="324"/>
    <s v="Female"/>
    <x v="47"/>
    <n v="75.3"/>
    <n v="8.6999999999999993"/>
    <x v="1"/>
    <x v="0"/>
    <s v="Yes"/>
    <x v="0"/>
    <n v="49.3"/>
    <n v="90.8"/>
    <x v="0"/>
  </r>
  <r>
    <n v="325"/>
    <s v="Female"/>
    <x v="45"/>
    <n v="96.1"/>
    <n v="5.8"/>
    <x v="1"/>
    <x v="0"/>
    <s v="Yes"/>
    <x v="1"/>
    <n v="70.3"/>
    <n v="80.8"/>
    <x v="1"/>
  </r>
  <r>
    <n v="326"/>
    <s v="Female"/>
    <x v="38"/>
    <n v="83.8"/>
    <n v="8.6"/>
    <x v="1"/>
    <x v="0"/>
    <s v="No"/>
    <x v="0"/>
    <n v="90.3"/>
    <n v="88.9"/>
    <x v="1"/>
  </r>
  <r>
    <n v="327"/>
    <s v="Male"/>
    <x v="40"/>
    <n v="63.3"/>
    <n v="7.4"/>
    <x v="3"/>
    <x v="1"/>
    <s v="Yes"/>
    <x v="0"/>
    <n v="71.8"/>
    <n v="63.7"/>
    <x v="2"/>
  </r>
  <r>
    <n v="328"/>
    <s v="Male"/>
    <x v="39"/>
    <n v="93.5"/>
    <n v="5.0999999999999996"/>
    <x v="4"/>
    <x v="0"/>
    <s v="Yes"/>
    <x v="0"/>
    <n v="66.5"/>
    <n v="82.6"/>
    <x v="1"/>
  </r>
  <r>
    <n v="329"/>
    <s v="Female"/>
    <x v="38"/>
    <n v="79.599999999999994"/>
    <n v="7.2"/>
    <x v="1"/>
    <x v="0"/>
    <s v="Yes"/>
    <x v="0"/>
    <n v="62.6"/>
    <n v="63.7"/>
    <x v="2"/>
  </r>
  <r>
    <n v="330"/>
    <s v="Female"/>
    <x v="49"/>
    <n v="84.1"/>
    <n v="4.3"/>
    <x v="4"/>
    <x v="0"/>
    <s v="No"/>
    <x v="0"/>
    <n v="80.8"/>
    <n v="96.6"/>
    <x v="0"/>
  </r>
  <r>
    <n v="331"/>
    <s v="Male"/>
    <x v="19"/>
    <n v="88.3"/>
    <n v="7.6"/>
    <x v="4"/>
    <x v="0"/>
    <s v="Yes"/>
    <x v="0"/>
    <n v="60.1"/>
    <n v="97"/>
    <x v="0"/>
  </r>
  <r>
    <n v="332"/>
    <s v="Male"/>
    <x v="19"/>
    <n v="86.9"/>
    <n v="7.9"/>
    <x v="3"/>
    <x v="1"/>
    <s v="Yes"/>
    <x v="0"/>
    <n v="92.2"/>
    <n v="93.3"/>
    <x v="0"/>
  </r>
  <r>
    <n v="333"/>
    <s v="Female"/>
    <x v="56"/>
    <n v="92.1"/>
    <n v="6.1"/>
    <x v="1"/>
    <x v="0"/>
    <s v="Yes"/>
    <x v="1"/>
    <n v="93.2"/>
    <n v="82.8"/>
    <x v="1"/>
  </r>
  <r>
    <n v="334"/>
    <s v="Male"/>
    <x v="38"/>
    <n v="80.599999999999994"/>
    <n v="6.9"/>
    <x v="3"/>
    <x v="0"/>
    <s v="Yes"/>
    <x v="0"/>
    <n v="73.099999999999994"/>
    <n v="81.2"/>
    <x v="1"/>
  </r>
  <r>
    <n v="335"/>
    <s v="Female"/>
    <x v="0"/>
    <n v="90.1"/>
    <n v="9.1"/>
    <x v="2"/>
    <x v="0"/>
    <s v="No"/>
    <x v="0"/>
    <n v="69.900000000000006"/>
    <n v="88.7"/>
    <x v="1"/>
  </r>
  <r>
    <n v="336"/>
    <s v="Female"/>
    <x v="10"/>
    <n v="82.4"/>
    <n v="6.2"/>
    <x v="3"/>
    <x v="0"/>
    <s v="Yes"/>
    <x v="0"/>
    <n v="82.4"/>
    <n v="71.2"/>
    <x v="3"/>
  </r>
  <r>
    <n v="337"/>
    <s v="Male"/>
    <x v="6"/>
    <n v="92.4"/>
    <n v="5.5"/>
    <x v="1"/>
    <x v="0"/>
    <s v="No"/>
    <x v="0"/>
    <n v="83.1"/>
    <n v="87.1"/>
    <x v="1"/>
  </r>
  <r>
    <n v="338"/>
    <s v="Male"/>
    <x v="21"/>
    <n v="91.2"/>
    <n v="8.6"/>
    <x v="0"/>
    <x v="0"/>
    <s v="No"/>
    <x v="0"/>
    <n v="60.3"/>
    <n v="94.9"/>
    <x v="0"/>
  </r>
  <r>
    <n v="339"/>
    <s v="Female"/>
    <x v="45"/>
    <n v="75.599999999999994"/>
    <n v="9.1999999999999993"/>
    <x v="0"/>
    <x v="0"/>
    <s v="No"/>
    <x v="0"/>
    <n v="63.7"/>
    <n v="76.099999999999994"/>
    <x v="3"/>
  </r>
  <r>
    <n v="340"/>
    <s v="Female"/>
    <x v="46"/>
    <n v="95.9"/>
    <n v="6.8"/>
    <x v="0"/>
    <x v="0"/>
    <s v="No"/>
    <x v="0"/>
    <n v="54.1"/>
    <n v="85.1"/>
    <x v="1"/>
  </r>
  <r>
    <n v="341"/>
    <s v="Male"/>
    <x v="15"/>
    <n v="79.599999999999994"/>
    <n v="8"/>
    <x v="1"/>
    <x v="0"/>
    <s v="Yes"/>
    <x v="0"/>
    <n v="74.900000000000006"/>
    <n v="96.3"/>
    <x v="0"/>
  </r>
  <r>
    <n v="342"/>
    <s v="Female"/>
    <x v="0"/>
    <n v="93.1"/>
    <n v="8.4"/>
    <x v="1"/>
    <x v="0"/>
    <s v="Yes"/>
    <x v="0"/>
    <n v="78"/>
    <n v="100"/>
    <x v="0"/>
  </r>
  <r>
    <n v="343"/>
    <s v="Male"/>
    <x v="40"/>
    <n v="88.7"/>
    <n v="5.9"/>
    <x v="3"/>
    <x v="0"/>
    <s v="No"/>
    <x v="0"/>
    <n v="53.8"/>
    <n v="92"/>
    <x v="0"/>
  </r>
  <r>
    <n v="344"/>
    <s v="Female"/>
    <x v="42"/>
    <n v="100"/>
    <n v="6.2"/>
    <x v="4"/>
    <x v="0"/>
    <s v="Yes"/>
    <x v="0"/>
    <n v="64.5"/>
    <n v="77.2"/>
    <x v="3"/>
  </r>
  <r>
    <n v="345"/>
    <s v="Male"/>
    <x v="45"/>
    <n v="82.8"/>
    <n v="8.3000000000000007"/>
    <x v="1"/>
    <x v="0"/>
    <s v="No"/>
    <x v="0"/>
    <n v="53.8"/>
    <n v="97.5"/>
    <x v="0"/>
  </r>
  <r>
    <n v="346"/>
    <s v="Male"/>
    <x v="41"/>
    <n v="81.5"/>
    <n v="8.8000000000000007"/>
    <x v="2"/>
    <x v="0"/>
    <s v="Yes"/>
    <x v="1"/>
    <n v="59.2"/>
    <n v="70.599999999999994"/>
    <x v="3"/>
  </r>
  <r>
    <n v="347"/>
    <s v="Male"/>
    <x v="39"/>
    <n v="84.8"/>
    <n v="7.5"/>
    <x v="1"/>
    <x v="0"/>
    <s v="No"/>
    <x v="0"/>
    <n v="76.599999999999994"/>
    <n v="87.2"/>
    <x v="1"/>
  </r>
  <r>
    <n v="348"/>
    <s v="Female"/>
    <x v="10"/>
    <n v="82"/>
    <n v="5.7"/>
    <x v="3"/>
    <x v="0"/>
    <s v="No"/>
    <x v="0"/>
    <n v="61.2"/>
    <n v="69"/>
    <x v="2"/>
  </r>
  <r>
    <n v="349"/>
    <s v="Female"/>
    <x v="29"/>
    <n v="93"/>
    <n v="9.1999999999999993"/>
    <x v="3"/>
    <x v="0"/>
    <s v="Yes"/>
    <x v="1"/>
    <n v="66.400000000000006"/>
    <n v="90.2"/>
    <x v="0"/>
  </r>
  <r>
    <n v="350"/>
    <s v="Male"/>
    <x v="5"/>
    <n v="68.8"/>
    <n v="6.2"/>
    <x v="3"/>
    <x v="0"/>
    <s v="Yes"/>
    <x v="1"/>
    <n v="50.5"/>
    <n v="74"/>
    <x v="3"/>
  </r>
  <r>
    <n v="351"/>
    <s v="Female"/>
    <x v="52"/>
    <n v="74.5"/>
    <n v="6.4"/>
    <x v="2"/>
    <x v="0"/>
    <s v="No"/>
    <x v="0"/>
    <n v="72.2"/>
    <n v="75.3"/>
    <x v="3"/>
  </r>
  <r>
    <n v="352"/>
    <s v="Male"/>
    <x v="29"/>
    <n v="74.3"/>
    <n v="7.2"/>
    <x v="1"/>
    <x v="0"/>
    <s v="No"/>
    <x v="0"/>
    <n v="69.5"/>
    <n v="86.5"/>
    <x v="1"/>
  </r>
  <r>
    <n v="353"/>
    <s v="Male"/>
    <x v="47"/>
    <n v="94.5"/>
    <n v="8.6999999999999993"/>
    <x v="4"/>
    <x v="0"/>
    <s v="Yes"/>
    <x v="0"/>
    <n v="61.3"/>
    <n v="100"/>
    <x v="0"/>
  </r>
  <r>
    <n v="354"/>
    <s v="Female"/>
    <x v="29"/>
    <n v="100"/>
    <n v="7.8"/>
    <x v="1"/>
    <x v="0"/>
    <s v="No"/>
    <x v="1"/>
    <n v="67.7"/>
    <n v="93.6"/>
    <x v="0"/>
  </r>
  <r>
    <n v="355"/>
    <s v="Female"/>
    <x v="57"/>
    <n v="84"/>
    <n v="7.3"/>
    <x v="3"/>
    <x v="0"/>
    <s v="Yes"/>
    <x v="1"/>
    <n v="72.2"/>
    <n v="72"/>
    <x v="3"/>
  </r>
  <r>
    <n v="356"/>
    <s v="Male"/>
    <x v="61"/>
    <n v="83.3"/>
    <n v="7.4"/>
    <x v="3"/>
    <x v="0"/>
    <s v="Yes"/>
    <x v="0"/>
    <n v="60.2"/>
    <n v="76.2"/>
    <x v="3"/>
  </r>
  <r>
    <n v="357"/>
    <s v="Female"/>
    <x v="3"/>
    <n v="85.7"/>
    <n v="6.9"/>
    <x v="3"/>
    <x v="0"/>
    <s v="No"/>
    <x v="0"/>
    <n v="52.3"/>
    <n v="80.900000000000006"/>
    <x v="1"/>
  </r>
  <r>
    <n v="358"/>
    <s v="Female"/>
    <x v="15"/>
    <n v="96.6"/>
    <n v="7.5"/>
    <x v="1"/>
    <x v="0"/>
    <s v="No"/>
    <x v="1"/>
    <n v="91.7"/>
    <n v="85.3"/>
    <x v="1"/>
  </r>
  <r>
    <n v="359"/>
    <s v="Male"/>
    <x v="20"/>
    <n v="75.7"/>
    <n v="3.8"/>
    <x v="4"/>
    <x v="0"/>
    <s v="No"/>
    <x v="0"/>
    <n v="62.4"/>
    <n v="81.900000000000006"/>
    <x v="1"/>
  </r>
  <r>
    <n v="360"/>
    <s v="Male"/>
    <x v="24"/>
    <n v="87.4"/>
    <n v="6.4"/>
    <x v="1"/>
    <x v="0"/>
    <s v="No"/>
    <x v="0"/>
    <n v="68.8"/>
    <n v="78"/>
    <x v="3"/>
  </r>
  <r>
    <n v="361"/>
    <s v="Female"/>
    <x v="45"/>
    <n v="94.8"/>
    <n v="7.1"/>
    <x v="1"/>
    <x v="0"/>
    <s v="Yes"/>
    <x v="1"/>
    <n v="82.1"/>
    <n v="93.6"/>
    <x v="0"/>
  </r>
  <r>
    <n v="362"/>
    <s v="Male"/>
    <x v="24"/>
    <n v="90"/>
    <n v="5.4"/>
    <x v="3"/>
    <x v="0"/>
    <s v="No"/>
    <x v="1"/>
    <n v="100"/>
    <n v="95.1"/>
    <x v="0"/>
  </r>
  <r>
    <n v="363"/>
    <s v="Male"/>
    <x v="3"/>
    <n v="86.9"/>
    <n v="7.3"/>
    <x v="0"/>
    <x v="0"/>
    <s v="Yes"/>
    <x v="1"/>
    <n v="55.1"/>
    <n v="66.7"/>
    <x v="2"/>
  </r>
  <r>
    <n v="364"/>
    <s v="Female"/>
    <x v="37"/>
    <n v="95"/>
    <n v="6.6"/>
    <x v="3"/>
    <x v="0"/>
    <s v="Yes"/>
    <x v="0"/>
    <n v="75.400000000000006"/>
    <n v="75.599999999999994"/>
    <x v="3"/>
  </r>
  <r>
    <n v="365"/>
    <s v="Male"/>
    <x v="32"/>
    <n v="58"/>
    <n v="8.9"/>
    <x v="0"/>
    <x v="0"/>
    <s v="Yes"/>
    <x v="0"/>
    <n v="61.5"/>
    <n v="57.4"/>
    <x v="4"/>
  </r>
  <r>
    <n v="366"/>
    <s v="Male"/>
    <x v="6"/>
    <n v="91.8"/>
    <n v="8.6999999999999993"/>
    <x v="1"/>
    <x v="0"/>
    <s v="Yes"/>
    <x v="0"/>
    <n v="63.5"/>
    <n v="75.400000000000006"/>
    <x v="3"/>
  </r>
  <r>
    <n v="367"/>
    <s v="Female"/>
    <x v="41"/>
    <n v="78.5"/>
    <n v="6.2"/>
    <x v="3"/>
    <x v="0"/>
    <s v="Yes"/>
    <x v="0"/>
    <n v="61.4"/>
    <n v="80.5"/>
    <x v="1"/>
  </r>
  <r>
    <n v="368"/>
    <s v="Female"/>
    <x v="33"/>
    <n v="66.7"/>
    <n v="6.6"/>
    <x v="0"/>
    <x v="1"/>
    <s v="Yes"/>
    <x v="0"/>
    <n v="56.5"/>
    <n v="75.099999999999994"/>
    <x v="3"/>
  </r>
  <r>
    <n v="369"/>
    <s v="Male"/>
    <x v="32"/>
    <n v="90.1"/>
    <n v="6.7"/>
    <x v="1"/>
    <x v="1"/>
    <s v="Yes"/>
    <x v="0"/>
    <n v="69.5"/>
    <n v="67.8"/>
    <x v="2"/>
  </r>
  <r>
    <n v="370"/>
    <s v="Male"/>
    <x v="63"/>
    <n v="98.7"/>
    <n v="6.3"/>
    <x v="3"/>
    <x v="0"/>
    <s v="Yes"/>
    <x v="0"/>
    <n v="52.3"/>
    <n v="97.4"/>
    <x v="0"/>
  </r>
  <r>
    <n v="371"/>
    <s v="Female"/>
    <x v="5"/>
    <n v="83.6"/>
    <n v="7"/>
    <x v="0"/>
    <x v="0"/>
    <s v="No"/>
    <x v="1"/>
    <n v="81.400000000000006"/>
    <n v="80.2"/>
    <x v="1"/>
  </r>
  <r>
    <n v="372"/>
    <s v="Female"/>
    <x v="45"/>
    <n v="94.5"/>
    <n v="5.9"/>
    <x v="0"/>
    <x v="0"/>
    <s v="Yes"/>
    <x v="0"/>
    <n v="70.7"/>
    <n v="82.8"/>
    <x v="1"/>
  </r>
  <r>
    <n v="373"/>
    <s v="Female"/>
    <x v="4"/>
    <n v="100"/>
    <n v="5.4"/>
    <x v="0"/>
    <x v="0"/>
    <s v="Yes"/>
    <x v="0"/>
    <n v="75.099999999999994"/>
    <n v="87.8"/>
    <x v="1"/>
  </r>
  <r>
    <n v="374"/>
    <s v="Female"/>
    <x v="21"/>
    <n v="98.1"/>
    <n v="7.5"/>
    <x v="3"/>
    <x v="0"/>
    <s v="No"/>
    <x v="0"/>
    <n v="64.400000000000006"/>
    <n v="85.8"/>
    <x v="1"/>
  </r>
  <r>
    <n v="375"/>
    <s v="Male"/>
    <x v="3"/>
    <n v="100"/>
    <n v="7.6"/>
    <x v="3"/>
    <x v="0"/>
    <s v="No"/>
    <x v="0"/>
    <n v="65.599999999999994"/>
    <n v="91.7"/>
    <x v="0"/>
  </r>
  <r>
    <n v="376"/>
    <s v="Female"/>
    <x v="19"/>
    <n v="92.4"/>
    <n v="5.8"/>
    <x v="3"/>
    <x v="0"/>
    <s v="No"/>
    <x v="1"/>
    <n v="73.5"/>
    <n v="84.9"/>
    <x v="1"/>
  </r>
  <r>
    <n v="377"/>
    <s v="Female"/>
    <x v="64"/>
    <n v="85.8"/>
    <n v="7.9"/>
    <x v="1"/>
    <x v="0"/>
    <s v="Yes"/>
    <x v="0"/>
    <n v="56"/>
    <n v="99.3"/>
    <x v="0"/>
  </r>
  <r>
    <n v="378"/>
    <s v="Male"/>
    <x v="38"/>
    <n v="69"/>
    <n v="6"/>
    <x v="3"/>
    <x v="0"/>
    <s v="No"/>
    <x v="0"/>
    <n v="65.7"/>
    <n v="74.3"/>
    <x v="3"/>
  </r>
  <r>
    <n v="379"/>
    <s v="Female"/>
    <x v="49"/>
    <n v="82.5"/>
    <n v="7.1"/>
    <x v="3"/>
    <x v="0"/>
    <s v="Yes"/>
    <x v="0"/>
    <n v="59.7"/>
    <n v="93.3"/>
    <x v="0"/>
  </r>
  <r>
    <n v="380"/>
    <s v="Male"/>
    <x v="24"/>
    <n v="76.599999999999994"/>
    <n v="7.8"/>
    <x v="3"/>
    <x v="0"/>
    <s v="Yes"/>
    <x v="0"/>
    <n v="59.3"/>
    <n v="79.400000000000006"/>
    <x v="3"/>
  </r>
  <r>
    <n v="381"/>
    <s v="Female"/>
    <x v="38"/>
    <n v="100"/>
    <n v="6.8"/>
    <x v="0"/>
    <x v="1"/>
    <s v="Yes"/>
    <x v="0"/>
    <n v="44.7"/>
    <n v="77.400000000000006"/>
    <x v="3"/>
  </r>
  <r>
    <n v="382"/>
    <s v="Female"/>
    <x v="7"/>
    <n v="83.2"/>
    <n v="7.3"/>
    <x v="4"/>
    <x v="0"/>
    <s v="No"/>
    <x v="0"/>
    <n v="86.1"/>
    <n v="100"/>
    <x v="0"/>
  </r>
  <r>
    <n v="383"/>
    <s v="Female"/>
    <x v="3"/>
    <n v="86.2"/>
    <n v="6.2"/>
    <x v="3"/>
    <x v="0"/>
    <s v="Yes"/>
    <x v="0"/>
    <n v="61.8"/>
    <n v="76.8"/>
    <x v="3"/>
  </r>
  <r>
    <n v="384"/>
    <s v="Male"/>
    <x v="7"/>
    <n v="90.5"/>
    <n v="6.6"/>
    <x v="1"/>
    <x v="0"/>
    <s v="Yes"/>
    <x v="0"/>
    <n v="84"/>
    <n v="100"/>
    <x v="0"/>
  </r>
  <r>
    <n v="385"/>
    <s v="Male"/>
    <x v="21"/>
    <n v="85.4"/>
    <n v="6.6"/>
    <x v="0"/>
    <x v="1"/>
    <s v="Yes"/>
    <x v="0"/>
    <n v="82.8"/>
    <n v="88.6"/>
    <x v="1"/>
  </r>
  <r>
    <n v="386"/>
    <s v="Female"/>
    <x v="40"/>
    <n v="100"/>
    <n v="5.9"/>
    <x v="4"/>
    <x v="0"/>
    <s v="No"/>
    <x v="0"/>
    <n v="54.6"/>
    <n v="79.099999999999994"/>
    <x v="3"/>
  </r>
  <r>
    <n v="387"/>
    <s v="Male"/>
    <x v="17"/>
    <n v="78.8"/>
    <n v="6.6"/>
    <x v="1"/>
    <x v="0"/>
    <s v="No"/>
    <x v="0"/>
    <n v="56.9"/>
    <n v="79.400000000000006"/>
    <x v="3"/>
  </r>
  <r>
    <n v="388"/>
    <s v="Male"/>
    <x v="29"/>
    <n v="86.9"/>
    <n v="4.9000000000000004"/>
    <x v="2"/>
    <x v="0"/>
    <s v="Yes"/>
    <x v="0"/>
    <n v="100"/>
    <n v="100"/>
    <x v="0"/>
  </r>
  <r>
    <n v="389"/>
    <s v="Male"/>
    <x v="17"/>
    <n v="77.599999999999994"/>
    <n v="6.2"/>
    <x v="3"/>
    <x v="0"/>
    <s v="No"/>
    <x v="1"/>
    <n v="91"/>
    <n v="86.7"/>
    <x v="1"/>
  </r>
  <r>
    <n v="390"/>
    <s v="Male"/>
    <x v="14"/>
    <n v="71.8"/>
    <n v="6.5"/>
    <x v="0"/>
    <x v="0"/>
    <s v="Yes"/>
    <x v="1"/>
    <n v="69.599999999999994"/>
    <n v="69.5"/>
    <x v="2"/>
  </r>
  <r>
    <n v="391"/>
    <s v="Male"/>
    <x v="24"/>
    <n v="78.900000000000006"/>
    <n v="6.5"/>
    <x v="1"/>
    <x v="0"/>
    <s v="No"/>
    <x v="0"/>
    <n v="73.099999999999994"/>
    <n v="86.3"/>
    <x v="1"/>
  </r>
  <r>
    <n v="392"/>
    <s v="Male"/>
    <x v="28"/>
    <n v="84.6"/>
    <n v="6.5"/>
    <x v="1"/>
    <x v="0"/>
    <s v="Yes"/>
    <x v="0"/>
    <n v="62.4"/>
    <n v="87.3"/>
    <x v="1"/>
  </r>
  <r>
    <n v="393"/>
    <s v="Female"/>
    <x v="38"/>
    <n v="80.7"/>
    <n v="6.7"/>
    <x v="2"/>
    <x v="1"/>
    <s v="No"/>
    <x v="0"/>
    <n v="75.2"/>
    <n v="72.099999999999994"/>
    <x v="3"/>
  </r>
  <r>
    <n v="394"/>
    <s v="Female"/>
    <x v="17"/>
    <n v="78.099999999999994"/>
    <n v="7.4"/>
    <x v="1"/>
    <x v="0"/>
    <s v="Yes"/>
    <x v="0"/>
    <n v="61.4"/>
    <n v="92.3"/>
    <x v="0"/>
  </r>
  <r>
    <n v="395"/>
    <s v="Male"/>
    <x v="45"/>
    <n v="70.900000000000006"/>
    <n v="7.8"/>
    <x v="3"/>
    <x v="0"/>
    <s v="No"/>
    <x v="1"/>
    <n v="45.6"/>
    <n v="67.599999999999994"/>
    <x v="2"/>
  </r>
  <r>
    <n v="396"/>
    <s v="Female"/>
    <x v="6"/>
    <n v="84.2"/>
    <n v="6"/>
    <x v="0"/>
    <x v="0"/>
    <s v="Yes"/>
    <x v="0"/>
    <n v="54.1"/>
    <n v="72.7"/>
    <x v="3"/>
  </r>
  <r>
    <n v="397"/>
    <s v="Female"/>
    <x v="39"/>
    <n v="70"/>
    <n v="5.4"/>
    <x v="1"/>
    <x v="0"/>
    <s v="Yes"/>
    <x v="0"/>
    <n v="70.3"/>
    <n v="76.099999999999994"/>
    <x v="3"/>
  </r>
  <r>
    <n v="398"/>
    <s v="Female"/>
    <x v="17"/>
    <n v="92.6"/>
    <n v="5.5"/>
    <x v="1"/>
    <x v="1"/>
    <s v="Yes"/>
    <x v="0"/>
    <n v="56.4"/>
    <n v="81.2"/>
    <x v="1"/>
  </r>
  <r>
    <n v="399"/>
    <s v="Female"/>
    <x v="20"/>
    <n v="85.8"/>
    <n v="6.2"/>
    <x v="0"/>
    <x v="0"/>
    <s v="Yes"/>
    <x v="0"/>
    <n v="69.2"/>
    <n v="90.4"/>
    <x v="0"/>
  </r>
  <r>
    <n v="400"/>
    <s v="Male"/>
    <x v="33"/>
    <n v="70.400000000000006"/>
    <n v="6.4"/>
    <x v="2"/>
    <x v="0"/>
    <s v="Yes"/>
    <x v="0"/>
    <n v="57.1"/>
    <n v="73.2"/>
    <x v="3"/>
  </r>
  <r>
    <n v="401"/>
    <s v="Female"/>
    <x v="50"/>
    <n v="81.900000000000006"/>
    <n v="5.9"/>
    <x v="0"/>
    <x v="0"/>
    <s v="No"/>
    <x v="1"/>
    <n v="60.6"/>
    <n v="85.2"/>
    <x v="1"/>
  </r>
  <r>
    <n v="402"/>
    <s v="Female"/>
    <x v="5"/>
    <n v="77.5"/>
    <n v="5.2"/>
    <x v="0"/>
    <x v="0"/>
    <s v="Yes"/>
    <x v="0"/>
    <n v="80.2"/>
    <n v="96.4"/>
    <x v="0"/>
  </r>
  <r>
    <n v="403"/>
    <s v="Male"/>
    <x v="38"/>
    <n v="88.2"/>
    <n v="6.3"/>
    <x v="1"/>
    <x v="0"/>
    <s v="No"/>
    <x v="1"/>
    <n v="73"/>
    <n v="81.900000000000006"/>
    <x v="1"/>
  </r>
  <r>
    <n v="404"/>
    <s v="Male"/>
    <x v="53"/>
    <n v="98.4"/>
    <n v="7"/>
    <x v="0"/>
    <x v="0"/>
    <s v="No"/>
    <x v="0"/>
    <n v="69.900000000000006"/>
    <n v="86.5"/>
    <x v="1"/>
  </r>
  <r>
    <n v="405"/>
    <s v="Female"/>
    <x v="39"/>
    <n v="66.2"/>
    <n v="7.5"/>
    <x v="0"/>
    <x v="0"/>
    <s v="No"/>
    <x v="0"/>
    <n v="80.5"/>
    <n v="84.7"/>
    <x v="1"/>
  </r>
  <r>
    <n v="406"/>
    <s v="Female"/>
    <x v="45"/>
    <n v="86.2"/>
    <n v="6.1"/>
    <x v="4"/>
    <x v="0"/>
    <s v="No"/>
    <x v="0"/>
    <n v="75.8"/>
    <n v="93"/>
    <x v="0"/>
  </r>
  <r>
    <n v="407"/>
    <s v="Female"/>
    <x v="52"/>
    <n v="83.4"/>
    <n v="6.3"/>
    <x v="0"/>
    <x v="0"/>
    <s v="No"/>
    <x v="0"/>
    <n v="87.4"/>
    <n v="78.900000000000006"/>
    <x v="3"/>
  </r>
  <r>
    <n v="408"/>
    <s v="Female"/>
    <x v="61"/>
    <n v="91.7"/>
    <n v="5.7"/>
    <x v="0"/>
    <x v="0"/>
    <s v="Yes"/>
    <x v="0"/>
    <n v="64.5"/>
    <n v="90.4"/>
    <x v="0"/>
  </r>
  <r>
    <n v="409"/>
    <s v="Female"/>
    <x v="18"/>
    <n v="87.1"/>
    <n v="6.8"/>
    <x v="1"/>
    <x v="1"/>
    <s v="No"/>
    <x v="0"/>
    <n v="64.8"/>
    <n v="80.099999999999994"/>
    <x v="1"/>
  </r>
  <r>
    <n v="410"/>
    <s v="Female"/>
    <x v="33"/>
    <n v="77.5"/>
    <n v="5.8"/>
    <x v="2"/>
    <x v="0"/>
    <s v="Yes"/>
    <x v="1"/>
    <n v="54.4"/>
    <n v="78.099999999999994"/>
    <x v="3"/>
  </r>
  <r>
    <n v="411"/>
    <s v="Male"/>
    <x v="38"/>
    <n v="81.8"/>
    <n v="7.5"/>
    <x v="1"/>
    <x v="0"/>
    <s v="No"/>
    <x v="0"/>
    <n v="64.900000000000006"/>
    <n v="70.099999999999994"/>
    <x v="3"/>
  </r>
  <r>
    <n v="412"/>
    <s v="Female"/>
    <x v="30"/>
    <n v="77"/>
    <n v="4.7"/>
    <x v="1"/>
    <x v="0"/>
    <s v="No"/>
    <x v="0"/>
    <n v="81.599999999999994"/>
    <n v="90.2"/>
    <x v="0"/>
  </r>
  <r>
    <n v="413"/>
    <s v="Female"/>
    <x v="15"/>
    <n v="95.8"/>
    <n v="6.4"/>
    <x v="3"/>
    <x v="0"/>
    <s v="Yes"/>
    <x v="0"/>
    <n v="85.6"/>
    <n v="86.5"/>
    <x v="1"/>
  </r>
  <r>
    <n v="414"/>
    <s v="Male"/>
    <x v="15"/>
    <n v="85.2"/>
    <n v="7.2"/>
    <x v="0"/>
    <x v="0"/>
    <s v="Yes"/>
    <x v="0"/>
    <n v="81.5"/>
    <n v="93.5"/>
    <x v="0"/>
  </r>
  <r>
    <n v="415"/>
    <s v="Male"/>
    <x v="2"/>
    <n v="100"/>
    <n v="7"/>
    <x v="0"/>
    <x v="1"/>
    <s v="Yes"/>
    <x v="1"/>
    <n v="48.5"/>
    <n v="83.3"/>
    <x v="1"/>
  </r>
  <r>
    <n v="416"/>
    <s v="Male"/>
    <x v="40"/>
    <n v="84.4"/>
    <n v="10"/>
    <x v="0"/>
    <x v="0"/>
    <s v="No"/>
    <x v="1"/>
    <n v="83"/>
    <n v="81.2"/>
    <x v="1"/>
  </r>
  <r>
    <n v="417"/>
    <s v="Male"/>
    <x v="16"/>
    <n v="77.900000000000006"/>
    <n v="7.2"/>
    <x v="3"/>
    <x v="1"/>
    <s v="No"/>
    <x v="0"/>
    <n v="47.9"/>
    <n v="76"/>
    <x v="3"/>
  </r>
  <r>
    <n v="418"/>
    <s v="Female"/>
    <x v="9"/>
    <n v="69.900000000000006"/>
    <n v="5.6"/>
    <x v="1"/>
    <x v="0"/>
    <s v="Yes"/>
    <x v="0"/>
    <n v="80.8"/>
    <n v="84.9"/>
    <x v="1"/>
  </r>
  <r>
    <n v="419"/>
    <s v="Female"/>
    <x v="9"/>
    <n v="67"/>
    <n v="6.7"/>
    <x v="3"/>
    <x v="0"/>
    <s v="No"/>
    <x v="0"/>
    <n v="65.599999999999994"/>
    <n v="79.2"/>
    <x v="3"/>
  </r>
  <r>
    <n v="420"/>
    <s v="Female"/>
    <x v="56"/>
    <n v="69.2"/>
    <n v="4.7"/>
    <x v="0"/>
    <x v="1"/>
    <s v="No"/>
    <x v="0"/>
    <n v="78.400000000000006"/>
    <n v="72.8"/>
    <x v="3"/>
  </r>
  <r>
    <n v="421"/>
    <s v="Female"/>
    <x v="45"/>
    <n v="87.7"/>
    <n v="6.7"/>
    <x v="0"/>
    <x v="0"/>
    <s v="Yes"/>
    <x v="1"/>
    <n v="54"/>
    <n v="69.900000000000006"/>
    <x v="2"/>
  </r>
  <r>
    <n v="422"/>
    <s v="Female"/>
    <x v="9"/>
    <n v="90.1"/>
    <n v="5.8"/>
    <x v="0"/>
    <x v="1"/>
    <s v="Yes"/>
    <x v="0"/>
    <n v="84.1"/>
    <n v="89.6"/>
    <x v="1"/>
  </r>
  <r>
    <n v="423"/>
    <s v="Female"/>
    <x v="13"/>
    <n v="69.2"/>
    <n v="7.9"/>
    <x v="1"/>
    <x v="0"/>
    <s v="No"/>
    <x v="1"/>
    <n v="52.4"/>
    <n v="77.3"/>
    <x v="3"/>
  </r>
  <r>
    <n v="424"/>
    <s v="Male"/>
    <x v="4"/>
    <n v="94"/>
    <n v="6.1"/>
    <x v="3"/>
    <x v="1"/>
    <s v="No"/>
    <x v="0"/>
    <n v="62"/>
    <n v="64.599999999999994"/>
    <x v="2"/>
  </r>
  <r>
    <n v="425"/>
    <s v="Female"/>
    <x v="46"/>
    <n v="80.2"/>
    <n v="6.7"/>
    <x v="0"/>
    <x v="0"/>
    <s v="No"/>
    <x v="1"/>
    <n v="58"/>
    <n v="81.8"/>
    <x v="1"/>
  </r>
  <r>
    <n v="426"/>
    <s v="Male"/>
    <x v="9"/>
    <n v="86.5"/>
    <n v="6"/>
    <x v="1"/>
    <x v="0"/>
    <s v="Yes"/>
    <x v="0"/>
    <n v="48.9"/>
    <n v="86.2"/>
    <x v="1"/>
  </r>
  <r>
    <n v="427"/>
    <s v="Male"/>
    <x v="51"/>
    <n v="100"/>
    <n v="8.9"/>
    <x v="0"/>
    <x v="0"/>
    <s v="Yes"/>
    <x v="1"/>
    <n v="71.099999999999994"/>
    <n v="100"/>
    <x v="0"/>
  </r>
  <r>
    <n v="428"/>
    <s v="Female"/>
    <x v="45"/>
    <n v="94"/>
    <n v="6.4"/>
    <x v="2"/>
    <x v="0"/>
    <s v="Yes"/>
    <x v="0"/>
    <n v="91.7"/>
    <n v="100"/>
    <x v="0"/>
  </r>
  <r>
    <n v="429"/>
    <s v="Male"/>
    <x v="29"/>
    <n v="82.3"/>
    <n v="9"/>
    <x v="0"/>
    <x v="0"/>
    <s v="Yes"/>
    <x v="0"/>
    <n v="100"/>
    <n v="100"/>
    <x v="0"/>
  </r>
  <r>
    <n v="430"/>
    <s v="Female"/>
    <x v="59"/>
    <n v="76.099999999999994"/>
    <n v="7.8"/>
    <x v="2"/>
    <x v="0"/>
    <s v="Yes"/>
    <x v="0"/>
    <n v="71.2"/>
    <n v="72"/>
    <x v="3"/>
  </r>
  <r>
    <n v="431"/>
    <s v="Male"/>
    <x v="52"/>
    <n v="63.5"/>
    <n v="7.4"/>
    <x v="1"/>
    <x v="0"/>
    <s v="No"/>
    <x v="0"/>
    <n v="83.4"/>
    <n v="81.2"/>
    <x v="1"/>
  </r>
  <r>
    <n v="432"/>
    <s v="Female"/>
    <x v="50"/>
    <n v="77.8"/>
    <n v="7.2"/>
    <x v="1"/>
    <x v="0"/>
    <s v="Yes"/>
    <x v="0"/>
    <n v="72.8"/>
    <n v="100"/>
    <x v="0"/>
  </r>
  <r>
    <n v="433"/>
    <s v="Male"/>
    <x v="16"/>
    <n v="82.9"/>
    <n v="7.3"/>
    <x v="1"/>
    <x v="0"/>
    <s v="No"/>
    <x v="1"/>
    <n v="76"/>
    <n v="79.7"/>
    <x v="3"/>
  </r>
  <r>
    <n v="434"/>
    <s v="Female"/>
    <x v="33"/>
    <n v="75.099999999999994"/>
    <n v="4.5"/>
    <x v="0"/>
    <x v="0"/>
    <s v="Yes"/>
    <x v="0"/>
    <n v="65.900000000000006"/>
    <n v="89.4"/>
    <x v="1"/>
  </r>
  <r>
    <n v="435"/>
    <s v="Female"/>
    <x v="40"/>
    <n v="83.7"/>
    <n v="6.5"/>
    <x v="1"/>
    <x v="0"/>
    <s v="No"/>
    <x v="0"/>
    <n v="72.3"/>
    <n v="77.8"/>
    <x v="3"/>
  </r>
  <r>
    <n v="436"/>
    <s v="Female"/>
    <x v="31"/>
    <n v="85.8"/>
    <n v="7.8"/>
    <x v="1"/>
    <x v="0"/>
    <s v="Yes"/>
    <x v="1"/>
    <n v="76.400000000000006"/>
    <n v="93.4"/>
    <x v="0"/>
  </r>
  <r>
    <n v="437"/>
    <s v="Female"/>
    <x v="60"/>
    <n v="82.8"/>
    <n v="6.7"/>
    <x v="2"/>
    <x v="0"/>
    <s v="Yes"/>
    <x v="1"/>
    <n v="63.1"/>
    <n v="100"/>
    <x v="0"/>
  </r>
  <r>
    <n v="438"/>
    <s v="Female"/>
    <x v="56"/>
    <n v="78.5"/>
    <n v="5.0999999999999996"/>
    <x v="3"/>
    <x v="0"/>
    <s v="Yes"/>
    <x v="0"/>
    <n v="69.099999999999994"/>
    <n v="76.5"/>
    <x v="3"/>
  </r>
  <r>
    <n v="439"/>
    <s v="Male"/>
    <x v="9"/>
    <n v="86.7"/>
    <n v="6.7"/>
    <x v="3"/>
    <x v="0"/>
    <s v="No"/>
    <x v="0"/>
    <n v="69.3"/>
    <n v="79.3"/>
    <x v="3"/>
  </r>
  <r>
    <n v="440"/>
    <s v="Male"/>
    <x v="51"/>
    <n v="89.4"/>
    <n v="8.8000000000000007"/>
    <x v="1"/>
    <x v="1"/>
    <s v="No"/>
    <x v="0"/>
    <n v="79.900000000000006"/>
    <n v="100"/>
    <x v="0"/>
  </r>
  <r>
    <n v="441"/>
    <s v="Male"/>
    <x v="36"/>
    <n v="74.099999999999994"/>
    <n v="8.3000000000000007"/>
    <x v="1"/>
    <x v="0"/>
    <s v="Yes"/>
    <x v="0"/>
    <n v="57.2"/>
    <n v="98.9"/>
    <x v="0"/>
  </r>
  <r>
    <n v="442"/>
    <s v="Female"/>
    <x v="40"/>
    <n v="99.1"/>
    <n v="6.7"/>
    <x v="1"/>
    <x v="0"/>
    <s v="Yes"/>
    <x v="1"/>
    <n v="69.400000000000006"/>
    <n v="87.5"/>
    <x v="1"/>
  </r>
  <r>
    <n v="443"/>
    <s v="Male"/>
    <x v="55"/>
    <n v="84"/>
    <n v="7.9"/>
    <x v="3"/>
    <x v="0"/>
    <s v="No"/>
    <x v="1"/>
    <n v="92.9"/>
    <n v="85.2"/>
    <x v="1"/>
  </r>
  <r>
    <n v="444"/>
    <s v="Female"/>
    <x v="28"/>
    <n v="85.2"/>
    <n v="6.4"/>
    <x v="2"/>
    <x v="0"/>
    <s v="Yes"/>
    <x v="0"/>
    <n v="84"/>
    <n v="86"/>
    <x v="1"/>
  </r>
  <r>
    <n v="445"/>
    <s v="Female"/>
    <x v="6"/>
    <n v="92.1"/>
    <n v="4.8"/>
    <x v="0"/>
    <x v="0"/>
    <s v="Yes"/>
    <x v="1"/>
    <n v="86.2"/>
    <n v="80.7"/>
    <x v="1"/>
  </r>
  <r>
    <n v="446"/>
    <s v="Male"/>
    <x v="32"/>
    <n v="87.3"/>
    <n v="5.7"/>
    <x v="1"/>
    <x v="0"/>
    <s v="No"/>
    <x v="0"/>
    <n v="70.3"/>
    <n v="79.900000000000006"/>
    <x v="3"/>
  </r>
  <r>
    <n v="447"/>
    <s v="Male"/>
    <x v="41"/>
    <n v="94.5"/>
    <n v="8.6999999999999993"/>
    <x v="0"/>
    <x v="0"/>
    <s v="No"/>
    <x v="0"/>
    <n v="73.900000000000006"/>
    <n v="79.099999999999994"/>
    <x v="3"/>
  </r>
  <r>
    <n v="448"/>
    <s v="Female"/>
    <x v="42"/>
    <n v="87.9"/>
    <n v="6.5"/>
    <x v="1"/>
    <x v="0"/>
    <s v="Yes"/>
    <x v="1"/>
    <n v="82"/>
    <n v="87.1"/>
    <x v="1"/>
  </r>
  <r>
    <n v="449"/>
    <s v="Male"/>
    <x v="38"/>
    <n v="78.900000000000006"/>
    <n v="6.5"/>
    <x v="0"/>
    <x v="0"/>
    <s v="Yes"/>
    <x v="0"/>
    <n v="88.7"/>
    <n v="90.7"/>
    <x v="0"/>
  </r>
  <r>
    <n v="450"/>
    <s v="Female"/>
    <x v="52"/>
    <n v="88.6"/>
    <n v="6.4"/>
    <x v="0"/>
    <x v="0"/>
    <s v="No"/>
    <x v="1"/>
    <n v="46.6"/>
    <n v="64.599999999999994"/>
    <x v="2"/>
  </r>
  <r>
    <n v="451"/>
    <s v="Female"/>
    <x v="25"/>
    <n v="73.599999999999994"/>
    <n v="9.1"/>
    <x v="3"/>
    <x v="1"/>
    <s v="Yes"/>
    <x v="0"/>
    <n v="54.2"/>
    <n v="77.900000000000006"/>
    <x v="3"/>
  </r>
  <r>
    <n v="452"/>
    <s v="Female"/>
    <x v="41"/>
    <n v="86.1"/>
    <n v="8.8000000000000007"/>
    <x v="1"/>
    <x v="0"/>
    <s v="Yes"/>
    <x v="1"/>
    <n v="85.7"/>
    <n v="82"/>
    <x v="1"/>
  </r>
  <r>
    <n v="453"/>
    <s v="Female"/>
    <x v="29"/>
    <n v="84.7"/>
    <n v="9.5"/>
    <x v="1"/>
    <x v="0"/>
    <s v="No"/>
    <x v="0"/>
    <n v="66.7"/>
    <n v="92.8"/>
    <x v="0"/>
  </r>
  <r>
    <n v="454"/>
    <s v="Female"/>
    <x v="46"/>
    <n v="82.9"/>
    <n v="6.6"/>
    <x v="2"/>
    <x v="1"/>
    <s v="No"/>
    <x v="0"/>
    <n v="61.9"/>
    <n v="85.4"/>
    <x v="1"/>
  </r>
  <r>
    <n v="455"/>
    <s v="Male"/>
    <x v="38"/>
    <n v="83.7"/>
    <n v="7.2"/>
    <x v="1"/>
    <x v="0"/>
    <s v="Yes"/>
    <x v="0"/>
    <n v="55"/>
    <n v="80.7"/>
    <x v="1"/>
  </r>
  <r>
    <n v="456"/>
    <s v="Male"/>
    <x v="30"/>
    <n v="66.2"/>
    <n v="5"/>
    <x v="1"/>
    <x v="0"/>
    <s v="No"/>
    <x v="0"/>
    <n v="63.3"/>
    <n v="72.7"/>
    <x v="3"/>
  </r>
  <r>
    <n v="457"/>
    <s v="Female"/>
    <x v="22"/>
    <n v="79.5"/>
    <n v="8.6"/>
    <x v="1"/>
    <x v="0"/>
    <s v="No"/>
    <x v="1"/>
    <n v="53.2"/>
    <n v="68.8"/>
    <x v="2"/>
  </r>
  <r>
    <n v="458"/>
    <s v="Female"/>
    <x v="39"/>
    <n v="85.9"/>
    <n v="5.4"/>
    <x v="1"/>
    <x v="1"/>
    <s v="Yes"/>
    <x v="0"/>
    <n v="95.1"/>
    <n v="89.9"/>
    <x v="1"/>
  </r>
  <r>
    <n v="459"/>
    <s v="Male"/>
    <x v="19"/>
    <n v="86.6"/>
    <n v="7.1"/>
    <x v="0"/>
    <x v="1"/>
    <s v="No"/>
    <x v="0"/>
    <n v="69.7"/>
    <n v="83.3"/>
    <x v="1"/>
  </r>
  <r>
    <n v="460"/>
    <s v="Male"/>
    <x v="5"/>
    <n v="74.7"/>
    <n v="5.5"/>
    <x v="3"/>
    <x v="0"/>
    <s v="Yes"/>
    <x v="0"/>
    <n v="69.3"/>
    <n v="86.8"/>
    <x v="1"/>
  </r>
  <r>
    <n v="461"/>
    <s v="Female"/>
    <x v="52"/>
    <n v="97.7"/>
    <n v="6.1"/>
    <x v="1"/>
    <x v="0"/>
    <s v="Yes"/>
    <x v="1"/>
    <n v="77.099999999999994"/>
    <n v="98.2"/>
    <x v="0"/>
  </r>
  <r>
    <n v="462"/>
    <s v="Male"/>
    <x v="62"/>
    <n v="76.3"/>
    <n v="5.8"/>
    <x v="0"/>
    <x v="0"/>
    <s v="No"/>
    <x v="0"/>
    <n v="81.5"/>
    <n v="100"/>
    <x v="0"/>
  </r>
  <r>
    <n v="463"/>
    <s v="Female"/>
    <x v="44"/>
    <n v="94.7"/>
    <n v="6.1"/>
    <x v="3"/>
    <x v="0"/>
    <s v="Yes"/>
    <x v="1"/>
    <n v="81.400000000000006"/>
    <n v="95.1"/>
    <x v="0"/>
  </r>
  <r>
    <n v="464"/>
    <s v="Male"/>
    <x v="40"/>
    <n v="89.3"/>
    <n v="6.2"/>
    <x v="0"/>
    <x v="0"/>
    <s v="Yes"/>
    <x v="0"/>
    <n v="82.9"/>
    <n v="93.5"/>
    <x v="0"/>
  </r>
  <r>
    <n v="465"/>
    <s v="Female"/>
    <x v="3"/>
    <n v="78.5"/>
    <n v="6.1"/>
    <x v="4"/>
    <x v="1"/>
    <s v="Yes"/>
    <x v="1"/>
    <n v="62.4"/>
    <n v="63.2"/>
    <x v="2"/>
  </r>
  <r>
    <n v="466"/>
    <s v="Male"/>
    <x v="40"/>
    <n v="100"/>
    <n v="7.8"/>
    <x v="4"/>
    <x v="0"/>
    <s v="Yes"/>
    <x v="0"/>
    <n v="66.400000000000006"/>
    <n v="100"/>
    <x v="0"/>
  </r>
  <r>
    <n v="467"/>
    <s v="Female"/>
    <x v="44"/>
    <n v="73.099999999999994"/>
    <n v="5.5"/>
    <x v="1"/>
    <x v="0"/>
    <s v="No"/>
    <x v="1"/>
    <n v="79.2"/>
    <n v="77.099999999999994"/>
    <x v="3"/>
  </r>
  <r>
    <n v="468"/>
    <s v="Male"/>
    <x v="8"/>
    <n v="94.2"/>
    <n v="7.1"/>
    <x v="3"/>
    <x v="0"/>
    <s v="No"/>
    <x v="0"/>
    <n v="63.7"/>
    <n v="88.8"/>
    <x v="1"/>
  </r>
  <r>
    <n v="469"/>
    <s v="Male"/>
    <x v="31"/>
    <n v="95"/>
    <n v="8.3000000000000007"/>
    <x v="0"/>
    <x v="0"/>
    <s v="No"/>
    <x v="0"/>
    <n v="69.900000000000006"/>
    <n v="100"/>
    <x v="0"/>
  </r>
  <r>
    <n v="470"/>
    <s v="Female"/>
    <x v="3"/>
    <n v="78.3"/>
    <n v="6.2"/>
    <x v="2"/>
    <x v="0"/>
    <s v="Yes"/>
    <x v="1"/>
    <n v="74.8"/>
    <n v="89.9"/>
    <x v="1"/>
  </r>
  <r>
    <n v="471"/>
    <s v="Male"/>
    <x v="42"/>
    <n v="98.9"/>
    <n v="5.9"/>
    <x v="0"/>
    <x v="0"/>
    <s v="Yes"/>
    <x v="0"/>
    <n v="79.400000000000006"/>
    <n v="87.6"/>
    <x v="1"/>
  </r>
  <r>
    <n v="472"/>
    <s v="Female"/>
    <x v="5"/>
    <n v="82.5"/>
    <n v="6.5"/>
    <x v="2"/>
    <x v="1"/>
    <s v="Yes"/>
    <x v="1"/>
    <n v="48.7"/>
    <n v="68"/>
    <x v="2"/>
  </r>
  <r>
    <n v="473"/>
    <s v="Male"/>
    <x v="40"/>
    <n v="87.9"/>
    <n v="8.1999999999999993"/>
    <x v="3"/>
    <x v="1"/>
    <s v="Yes"/>
    <x v="0"/>
    <n v="78.599999999999994"/>
    <n v="82.2"/>
    <x v="1"/>
  </r>
  <r>
    <n v="474"/>
    <s v="Female"/>
    <x v="17"/>
    <n v="87.6"/>
    <n v="7"/>
    <x v="1"/>
    <x v="0"/>
    <s v="Yes"/>
    <x v="0"/>
    <n v="67.2"/>
    <n v="94"/>
    <x v="0"/>
  </r>
  <r>
    <n v="475"/>
    <s v="Male"/>
    <x v="45"/>
    <n v="83.7"/>
    <n v="6.2"/>
    <x v="0"/>
    <x v="1"/>
    <s v="No"/>
    <x v="0"/>
    <n v="78.5"/>
    <n v="90.9"/>
    <x v="0"/>
  </r>
  <r>
    <n v="476"/>
    <s v="Female"/>
    <x v="23"/>
    <n v="93.1"/>
    <n v="7.4"/>
    <x v="2"/>
    <x v="0"/>
    <s v="No"/>
    <x v="0"/>
    <n v="79.3"/>
    <n v="85"/>
    <x v="1"/>
  </r>
  <r>
    <n v="477"/>
    <s v="Male"/>
    <x v="25"/>
    <n v="92.9"/>
    <n v="5.5"/>
    <x v="4"/>
    <x v="0"/>
    <s v="No"/>
    <x v="1"/>
    <n v="89.3"/>
    <n v="100"/>
    <x v="0"/>
  </r>
  <r>
    <n v="478"/>
    <s v="Female"/>
    <x v="7"/>
    <n v="67.5"/>
    <n v="7.6"/>
    <x v="1"/>
    <x v="0"/>
    <s v="Yes"/>
    <x v="0"/>
    <n v="86.2"/>
    <n v="100"/>
    <x v="0"/>
  </r>
  <r>
    <n v="479"/>
    <s v="Male"/>
    <x v="3"/>
    <n v="98"/>
    <n v="7.3"/>
    <x v="3"/>
    <x v="0"/>
    <s v="No"/>
    <x v="1"/>
    <n v="86.2"/>
    <n v="87.4"/>
    <x v="1"/>
  </r>
  <r>
    <n v="480"/>
    <s v="Female"/>
    <x v="55"/>
    <n v="68.400000000000006"/>
    <n v="6.4"/>
    <x v="1"/>
    <x v="1"/>
    <s v="Yes"/>
    <x v="0"/>
    <n v="87.3"/>
    <n v="84.8"/>
    <x v="1"/>
  </r>
  <r>
    <n v="481"/>
    <s v="Female"/>
    <x v="52"/>
    <n v="95.3"/>
    <n v="5.8"/>
    <x v="1"/>
    <x v="0"/>
    <s v="Yes"/>
    <x v="0"/>
    <n v="73.5"/>
    <n v="89.5"/>
    <x v="1"/>
  </r>
  <r>
    <n v="482"/>
    <s v="Female"/>
    <x v="0"/>
    <n v="96.3"/>
    <n v="5.7"/>
    <x v="0"/>
    <x v="0"/>
    <s v="No"/>
    <x v="0"/>
    <n v="70.400000000000006"/>
    <n v="92.3"/>
    <x v="0"/>
  </r>
  <r>
    <n v="483"/>
    <s v="Male"/>
    <x v="30"/>
    <n v="74.099999999999994"/>
    <n v="7.4"/>
    <x v="1"/>
    <x v="0"/>
    <s v="No"/>
    <x v="1"/>
    <n v="80.5"/>
    <n v="86.6"/>
    <x v="1"/>
  </r>
  <r>
    <n v="484"/>
    <s v="Female"/>
    <x v="65"/>
    <n v="80.900000000000006"/>
    <n v="8.3000000000000007"/>
    <x v="3"/>
    <x v="0"/>
    <s v="Yes"/>
    <x v="0"/>
    <n v="78.8"/>
    <n v="100"/>
    <x v="0"/>
  </r>
  <r>
    <n v="485"/>
    <s v="Male"/>
    <x v="46"/>
    <n v="73.900000000000006"/>
    <n v="6"/>
    <x v="1"/>
    <x v="0"/>
    <s v="Yes"/>
    <x v="0"/>
    <n v="66.3"/>
    <n v="75.7"/>
    <x v="3"/>
  </r>
  <r>
    <n v="486"/>
    <s v="Female"/>
    <x v="42"/>
    <n v="82.9"/>
    <n v="7.4"/>
    <x v="3"/>
    <x v="0"/>
    <s v="Yes"/>
    <x v="1"/>
    <n v="74.900000000000006"/>
    <n v="87.3"/>
    <x v="1"/>
  </r>
  <r>
    <n v="487"/>
    <s v="Male"/>
    <x v="37"/>
    <n v="81.900000000000006"/>
    <n v="4.3"/>
    <x v="1"/>
    <x v="0"/>
    <s v="No"/>
    <x v="0"/>
    <n v="69.599999999999994"/>
    <n v="66.599999999999994"/>
    <x v="2"/>
  </r>
  <r>
    <n v="488"/>
    <s v="Female"/>
    <x v="24"/>
    <n v="92.8"/>
    <n v="6.1"/>
    <x v="1"/>
    <x v="0"/>
    <s v="Yes"/>
    <x v="0"/>
    <n v="59.8"/>
    <n v="74.099999999999994"/>
    <x v="3"/>
  </r>
  <r>
    <n v="489"/>
    <s v="Male"/>
    <x v="15"/>
    <n v="98.1"/>
    <n v="6.8"/>
    <x v="1"/>
    <x v="0"/>
    <s v="No"/>
    <x v="0"/>
    <n v="85.5"/>
    <n v="100"/>
    <x v="0"/>
  </r>
  <r>
    <n v="490"/>
    <s v="Male"/>
    <x v="7"/>
    <n v="99"/>
    <n v="5.7"/>
    <x v="1"/>
    <x v="0"/>
    <s v="Yes"/>
    <x v="0"/>
    <n v="70.7"/>
    <n v="100"/>
    <x v="0"/>
  </r>
  <r>
    <n v="491"/>
    <s v="Female"/>
    <x v="40"/>
    <n v="79.400000000000006"/>
    <n v="5.7"/>
    <x v="1"/>
    <x v="0"/>
    <s v="Yes"/>
    <x v="0"/>
    <n v="94.6"/>
    <n v="74.3"/>
    <x v="3"/>
  </r>
  <r>
    <n v="492"/>
    <s v="Male"/>
    <x v="45"/>
    <n v="82.9"/>
    <n v="6"/>
    <x v="1"/>
    <x v="0"/>
    <s v="Yes"/>
    <x v="1"/>
    <n v="50.5"/>
    <n v="71.099999999999994"/>
    <x v="3"/>
  </r>
  <r>
    <n v="493"/>
    <s v="Male"/>
    <x v="15"/>
    <n v="68.2"/>
    <n v="7.2"/>
    <x v="0"/>
    <x v="0"/>
    <s v="Yes"/>
    <x v="0"/>
    <n v="63.3"/>
    <n v="66.7"/>
    <x v="2"/>
  </r>
  <r>
    <n v="494"/>
    <s v="Female"/>
    <x v="8"/>
    <n v="76.900000000000006"/>
    <n v="6.6"/>
    <x v="1"/>
    <x v="0"/>
    <s v="Yes"/>
    <x v="1"/>
    <n v="70.400000000000006"/>
    <n v="82.1"/>
    <x v="1"/>
  </r>
  <r>
    <n v="495"/>
    <s v="Male"/>
    <x v="64"/>
    <n v="94.6"/>
    <n v="4.0999999999999996"/>
    <x v="0"/>
    <x v="0"/>
    <s v="No"/>
    <x v="0"/>
    <n v="83.6"/>
    <n v="88.5"/>
    <x v="1"/>
  </r>
  <r>
    <n v="496"/>
    <s v="Male"/>
    <x v="40"/>
    <n v="100"/>
    <n v="4.3"/>
    <x v="0"/>
    <x v="1"/>
    <s v="No"/>
    <x v="0"/>
    <n v="74.8"/>
    <n v="79.400000000000006"/>
    <x v="3"/>
  </r>
  <r>
    <n v="497"/>
    <s v="Male"/>
    <x v="9"/>
    <n v="72.7"/>
    <n v="6.1"/>
    <x v="4"/>
    <x v="0"/>
    <s v="No"/>
    <x v="0"/>
    <n v="73.7"/>
    <n v="71"/>
    <x v="3"/>
  </r>
  <r>
    <n v="498"/>
    <s v="Female"/>
    <x v="33"/>
    <n v="79.099999999999994"/>
    <n v="7.3"/>
    <x v="2"/>
    <x v="0"/>
    <s v="No"/>
    <x v="0"/>
    <n v="56.5"/>
    <n v="85.4"/>
    <x v="1"/>
  </r>
  <r>
    <n v="499"/>
    <s v="Male"/>
    <x v="30"/>
    <n v="84.7"/>
    <n v="3.5"/>
    <x v="0"/>
    <x v="1"/>
    <s v="No"/>
    <x v="1"/>
    <n v="56.1"/>
    <n v="61.8"/>
    <x v="2"/>
  </r>
  <r>
    <n v="500"/>
    <s v="Female"/>
    <x v="1"/>
    <n v="87.8"/>
    <n v="6.2"/>
    <x v="1"/>
    <x v="0"/>
    <s v="No"/>
    <x v="0"/>
    <n v="73.900000000000006"/>
    <n v="99.6"/>
    <x v="0"/>
  </r>
  <r>
    <n v="501"/>
    <s v="Male"/>
    <x v="17"/>
    <n v="76.900000000000006"/>
    <n v="6.2"/>
    <x v="1"/>
    <x v="0"/>
    <s v="No"/>
    <x v="0"/>
    <n v="53.6"/>
    <n v="76.099999999999994"/>
    <x v="3"/>
  </r>
  <r>
    <n v="502"/>
    <s v="Male"/>
    <x v="56"/>
    <n v="89.2"/>
    <n v="8.5"/>
    <x v="2"/>
    <x v="0"/>
    <s v="Yes"/>
    <x v="1"/>
    <n v="63.6"/>
    <n v="90.4"/>
    <x v="0"/>
  </r>
  <r>
    <n v="503"/>
    <s v="Male"/>
    <x v="17"/>
    <n v="80.3"/>
    <n v="6.3"/>
    <x v="1"/>
    <x v="1"/>
    <s v="Yes"/>
    <x v="0"/>
    <n v="76"/>
    <n v="93.3"/>
    <x v="0"/>
  </r>
  <r>
    <n v="504"/>
    <s v="Female"/>
    <x v="49"/>
    <n v="84.9"/>
    <n v="7.3"/>
    <x v="1"/>
    <x v="1"/>
    <s v="Yes"/>
    <x v="0"/>
    <n v="58.2"/>
    <n v="88.9"/>
    <x v="1"/>
  </r>
  <r>
    <n v="505"/>
    <s v="Male"/>
    <x v="58"/>
    <n v="90.5"/>
    <n v="7"/>
    <x v="1"/>
    <x v="0"/>
    <s v="Yes"/>
    <x v="0"/>
    <n v="89.3"/>
    <n v="99"/>
    <x v="0"/>
  </r>
  <r>
    <n v="506"/>
    <s v="Male"/>
    <x v="20"/>
    <n v="85.1"/>
    <n v="4.2"/>
    <x v="1"/>
    <x v="0"/>
    <s v="Yes"/>
    <x v="1"/>
    <n v="84.7"/>
    <n v="100"/>
    <x v="0"/>
  </r>
  <r>
    <n v="507"/>
    <s v="Female"/>
    <x v="33"/>
    <n v="80.599999999999994"/>
    <n v="7.7"/>
    <x v="1"/>
    <x v="0"/>
    <s v="No"/>
    <x v="0"/>
    <n v="51.1"/>
    <n v="74.5"/>
    <x v="3"/>
  </r>
  <r>
    <n v="508"/>
    <s v="Male"/>
    <x v="8"/>
    <n v="83.9"/>
    <n v="7.1"/>
    <x v="3"/>
    <x v="1"/>
    <s v="Yes"/>
    <x v="1"/>
    <n v="58.8"/>
    <n v="72.8"/>
    <x v="3"/>
  </r>
  <r>
    <n v="509"/>
    <s v="Female"/>
    <x v="31"/>
    <n v="84.1"/>
    <n v="7.4"/>
    <x v="1"/>
    <x v="1"/>
    <s v="Yes"/>
    <x v="1"/>
    <n v="42.6"/>
    <n v="76.099999999999994"/>
    <x v="3"/>
  </r>
  <r>
    <n v="510"/>
    <s v="Female"/>
    <x v="30"/>
    <n v="81.3"/>
    <n v="10"/>
    <x v="0"/>
    <x v="0"/>
    <s v="Yes"/>
    <x v="1"/>
    <n v="60.6"/>
    <n v="99.5"/>
    <x v="0"/>
  </r>
  <r>
    <n v="511"/>
    <s v="Male"/>
    <x v="46"/>
    <n v="82.4"/>
    <n v="4.3"/>
    <x v="1"/>
    <x v="0"/>
    <s v="Yes"/>
    <x v="1"/>
    <n v="79.2"/>
    <n v="79.900000000000006"/>
    <x v="3"/>
  </r>
  <r>
    <n v="512"/>
    <s v="Female"/>
    <x v="19"/>
    <n v="100"/>
    <n v="8.9"/>
    <x v="1"/>
    <x v="0"/>
    <s v="Yes"/>
    <x v="1"/>
    <n v="65"/>
    <n v="88.2"/>
    <x v="1"/>
  </r>
  <r>
    <n v="513"/>
    <s v="Male"/>
    <x v="8"/>
    <n v="90.6"/>
    <n v="6.5"/>
    <x v="2"/>
    <x v="0"/>
    <s v="Yes"/>
    <x v="0"/>
    <n v="75.5"/>
    <n v="88.9"/>
    <x v="1"/>
  </r>
  <r>
    <n v="514"/>
    <s v="Female"/>
    <x v="42"/>
    <n v="82"/>
    <n v="7.1"/>
    <x v="1"/>
    <x v="0"/>
    <s v="Yes"/>
    <x v="0"/>
    <n v="51.7"/>
    <n v="77.900000000000006"/>
    <x v="3"/>
  </r>
  <r>
    <n v="515"/>
    <s v="Female"/>
    <x v="39"/>
    <n v="92"/>
    <n v="6.7"/>
    <x v="3"/>
    <x v="0"/>
    <s v="Yes"/>
    <x v="1"/>
    <n v="79.599999999999994"/>
    <n v="97.2"/>
    <x v="0"/>
  </r>
  <r>
    <n v="516"/>
    <s v="Male"/>
    <x v="55"/>
    <n v="81.7"/>
    <n v="6.3"/>
    <x v="0"/>
    <x v="0"/>
    <s v="No"/>
    <x v="1"/>
    <n v="63.3"/>
    <n v="79.3"/>
    <x v="3"/>
  </r>
  <r>
    <n v="517"/>
    <s v="Female"/>
    <x v="15"/>
    <n v="96.7"/>
    <n v="6.1"/>
    <x v="1"/>
    <x v="0"/>
    <s v="No"/>
    <x v="0"/>
    <n v="70.099999999999994"/>
    <n v="84.2"/>
    <x v="1"/>
  </r>
  <r>
    <n v="518"/>
    <s v="Female"/>
    <x v="13"/>
    <n v="88.7"/>
    <n v="7.2"/>
    <x v="2"/>
    <x v="1"/>
    <s v="Yes"/>
    <x v="0"/>
    <n v="68.900000000000006"/>
    <n v="86.3"/>
    <x v="1"/>
  </r>
  <r>
    <n v="519"/>
    <s v="Female"/>
    <x v="45"/>
    <n v="83.9"/>
    <n v="5"/>
    <x v="1"/>
    <x v="0"/>
    <s v="Yes"/>
    <x v="1"/>
    <n v="54.7"/>
    <n v="67.599999999999994"/>
    <x v="2"/>
  </r>
  <r>
    <n v="520"/>
    <s v="Female"/>
    <x v="16"/>
    <n v="89.5"/>
    <n v="7.7"/>
    <x v="4"/>
    <x v="0"/>
    <s v="Yes"/>
    <x v="1"/>
    <n v="56.2"/>
    <n v="80.7"/>
    <x v="1"/>
  </r>
  <r>
    <n v="521"/>
    <s v="Female"/>
    <x v="6"/>
    <n v="69.3"/>
    <n v="6.3"/>
    <x v="1"/>
    <x v="0"/>
    <s v="No"/>
    <x v="1"/>
    <n v="81.599999999999994"/>
    <n v="64.7"/>
    <x v="2"/>
  </r>
  <r>
    <n v="522"/>
    <s v="Male"/>
    <x v="21"/>
    <n v="73.7"/>
    <n v="5.4"/>
    <x v="4"/>
    <x v="1"/>
    <s v="Yes"/>
    <x v="1"/>
    <n v="74.8"/>
    <n v="71.8"/>
    <x v="3"/>
  </r>
  <r>
    <n v="523"/>
    <s v="Female"/>
    <x v="30"/>
    <n v="73.099999999999994"/>
    <n v="6.3"/>
    <x v="1"/>
    <x v="0"/>
    <s v="Yes"/>
    <x v="1"/>
    <n v="82.6"/>
    <n v="84.9"/>
    <x v="1"/>
  </r>
  <r>
    <n v="524"/>
    <s v="Male"/>
    <x v="66"/>
    <n v="86.4"/>
    <n v="8.3000000000000007"/>
    <x v="0"/>
    <x v="0"/>
    <s v="No"/>
    <x v="0"/>
    <n v="73.900000000000006"/>
    <n v="100"/>
    <x v="0"/>
  </r>
  <r>
    <n v="525"/>
    <s v="Female"/>
    <x v="56"/>
    <n v="100"/>
    <n v="6.2"/>
    <x v="3"/>
    <x v="0"/>
    <s v="Yes"/>
    <x v="1"/>
    <n v="71.7"/>
    <n v="82.4"/>
    <x v="1"/>
  </r>
  <r>
    <n v="526"/>
    <s v="Male"/>
    <x v="45"/>
    <n v="100"/>
    <n v="7.2"/>
    <x v="2"/>
    <x v="0"/>
    <s v="Yes"/>
    <x v="0"/>
    <n v="49.3"/>
    <n v="87.3"/>
    <x v="1"/>
  </r>
  <r>
    <n v="527"/>
    <s v="Male"/>
    <x v="52"/>
    <n v="91.4"/>
    <n v="5.9"/>
    <x v="2"/>
    <x v="0"/>
    <s v="Yes"/>
    <x v="1"/>
    <n v="66.8"/>
    <n v="84.8"/>
    <x v="1"/>
  </r>
  <r>
    <n v="528"/>
    <s v="Female"/>
    <x v="36"/>
    <n v="90"/>
    <n v="7.7"/>
    <x v="3"/>
    <x v="0"/>
    <s v="No"/>
    <x v="0"/>
    <n v="69.7"/>
    <n v="96.4"/>
    <x v="0"/>
  </r>
  <r>
    <n v="529"/>
    <s v="Female"/>
    <x v="38"/>
    <n v="67"/>
    <n v="7.6"/>
    <x v="4"/>
    <x v="1"/>
    <s v="No"/>
    <x v="0"/>
    <n v="93.4"/>
    <n v="84.3"/>
    <x v="1"/>
  </r>
  <r>
    <n v="530"/>
    <s v="Female"/>
    <x v="52"/>
    <n v="79.599999999999994"/>
    <n v="9"/>
    <x v="1"/>
    <x v="0"/>
    <s v="No"/>
    <x v="0"/>
    <n v="78.2"/>
    <n v="84.5"/>
    <x v="1"/>
  </r>
  <r>
    <n v="531"/>
    <s v="Male"/>
    <x v="17"/>
    <n v="77.099999999999994"/>
    <n v="6.6"/>
    <x v="1"/>
    <x v="0"/>
    <s v="Yes"/>
    <x v="0"/>
    <n v="88.4"/>
    <n v="94.7"/>
    <x v="0"/>
  </r>
  <r>
    <n v="532"/>
    <s v="Female"/>
    <x v="45"/>
    <n v="78.8"/>
    <n v="7.6"/>
    <x v="1"/>
    <x v="0"/>
    <s v="Yes"/>
    <x v="0"/>
    <n v="77.2"/>
    <n v="89.6"/>
    <x v="1"/>
  </r>
  <r>
    <n v="533"/>
    <s v="Male"/>
    <x v="9"/>
    <n v="83.3"/>
    <n v="6.9"/>
    <x v="0"/>
    <x v="0"/>
    <s v="No"/>
    <x v="0"/>
    <n v="61.5"/>
    <n v="68.599999999999994"/>
    <x v="2"/>
  </r>
  <r>
    <n v="534"/>
    <s v="Male"/>
    <x v="45"/>
    <n v="80.3"/>
    <n v="8.4"/>
    <x v="0"/>
    <x v="0"/>
    <s v="No"/>
    <x v="0"/>
    <n v="71.400000000000006"/>
    <n v="92.8"/>
    <x v="0"/>
  </r>
  <r>
    <n v="535"/>
    <s v="Male"/>
    <x v="33"/>
    <n v="65.2"/>
    <n v="5.9"/>
    <x v="0"/>
    <x v="0"/>
    <s v="Yes"/>
    <x v="0"/>
    <n v="72.8"/>
    <n v="80.7"/>
    <x v="1"/>
  </r>
  <r>
    <n v="536"/>
    <s v="Female"/>
    <x v="41"/>
    <n v="92.5"/>
    <n v="7.7"/>
    <x v="1"/>
    <x v="0"/>
    <s v="No"/>
    <x v="0"/>
    <n v="58.7"/>
    <n v="77.599999999999994"/>
    <x v="3"/>
  </r>
  <r>
    <n v="537"/>
    <s v="Female"/>
    <x v="19"/>
    <n v="74.3"/>
    <n v="6.6"/>
    <x v="3"/>
    <x v="0"/>
    <s v="Yes"/>
    <x v="0"/>
    <n v="65.400000000000006"/>
    <n v="87.7"/>
    <x v="1"/>
  </r>
  <r>
    <n v="538"/>
    <s v="Male"/>
    <x v="24"/>
    <n v="87.4"/>
    <n v="6.7"/>
    <x v="1"/>
    <x v="0"/>
    <s v="Yes"/>
    <x v="0"/>
    <n v="67.5"/>
    <n v="86"/>
    <x v="1"/>
  </r>
  <r>
    <n v="539"/>
    <s v="Male"/>
    <x v="8"/>
    <n v="100"/>
    <n v="6.9"/>
    <x v="1"/>
    <x v="0"/>
    <s v="No"/>
    <x v="0"/>
    <n v="89.3"/>
    <n v="100"/>
    <x v="0"/>
  </r>
  <r>
    <n v="540"/>
    <s v="Female"/>
    <x v="23"/>
    <n v="75.8"/>
    <n v="7.1"/>
    <x v="0"/>
    <x v="0"/>
    <s v="Yes"/>
    <x v="1"/>
    <n v="45"/>
    <n v="57.3"/>
    <x v="4"/>
  </r>
  <r>
    <n v="541"/>
    <s v="Male"/>
    <x v="40"/>
    <n v="59.7"/>
    <n v="6.7"/>
    <x v="3"/>
    <x v="1"/>
    <s v="No"/>
    <x v="1"/>
    <n v="84.5"/>
    <n v="75.599999999999994"/>
    <x v="3"/>
  </r>
  <r>
    <n v="542"/>
    <s v="Female"/>
    <x v="39"/>
    <n v="82.1"/>
    <n v="7.1"/>
    <x v="3"/>
    <x v="0"/>
    <s v="Yes"/>
    <x v="0"/>
    <n v="58.8"/>
    <n v="87.3"/>
    <x v="1"/>
  </r>
  <r>
    <n v="543"/>
    <s v="Male"/>
    <x v="25"/>
    <n v="96"/>
    <n v="8.6999999999999993"/>
    <x v="0"/>
    <x v="0"/>
    <s v="Yes"/>
    <x v="1"/>
    <n v="53.5"/>
    <n v="88.8"/>
    <x v="1"/>
  </r>
  <r>
    <n v="544"/>
    <s v="Female"/>
    <x v="38"/>
    <n v="100"/>
    <n v="8"/>
    <x v="1"/>
    <x v="0"/>
    <s v="No"/>
    <x v="0"/>
    <n v="84.2"/>
    <n v="91.8"/>
    <x v="0"/>
  </r>
  <r>
    <n v="545"/>
    <s v="Male"/>
    <x v="40"/>
    <n v="72.7"/>
    <n v="7.8"/>
    <x v="0"/>
    <x v="0"/>
    <s v="No"/>
    <x v="1"/>
    <n v="78.8"/>
    <n v="66"/>
    <x v="2"/>
  </r>
  <r>
    <n v="546"/>
    <s v="Female"/>
    <x v="1"/>
    <n v="90"/>
    <n v="6.3"/>
    <x v="1"/>
    <x v="0"/>
    <s v="Yes"/>
    <x v="0"/>
    <n v="85.1"/>
    <n v="100"/>
    <x v="0"/>
  </r>
  <r>
    <n v="547"/>
    <s v="Male"/>
    <x v="59"/>
    <n v="80.3"/>
    <n v="5.7"/>
    <x v="0"/>
    <x v="1"/>
    <s v="Yes"/>
    <x v="0"/>
    <n v="79.599999999999994"/>
    <n v="71.099999999999994"/>
    <x v="3"/>
  </r>
  <r>
    <n v="548"/>
    <s v="Female"/>
    <x v="35"/>
    <n v="83.9"/>
    <n v="7.9"/>
    <x v="0"/>
    <x v="0"/>
    <s v="No"/>
    <x v="0"/>
    <n v="94.7"/>
    <n v="88.8"/>
    <x v="1"/>
  </r>
  <r>
    <n v="549"/>
    <s v="Female"/>
    <x v="5"/>
    <n v="100"/>
    <n v="7.9"/>
    <x v="1"/>
    <x v="0"/>
    <s v="Yes"/>
    <x v="0"/>
    <n v="76.7"/>
    <n v="100"/>
    <x v="0"/>
  </r>
  <r>
    <n v="550"/>
    <s v="Male"/>
    <x v="40"/>
    <n v="70"/>
    <n v="8.6"/>
    <x v="1"/>
    <x v="0"/>
    <s v="No"/>
    <x v="0"/>
    <n v="68.099999999999994"/>
    <n v="85.2"/>
    <x v="1"/>
  </r>
  <r>
    <n v="551"/>
    <s v="Male"/>
    <x v="41"/>
    <n v="87.5"/>
    <n v="6.1"/>
    <x v="2"/>
    <x v="0"/>
    <s v="No"/>
    <x v="0"/>
    <n v="74.099999999999994"/>
    <n v="75.400000000000006"/>
    <x v="3"/>
  </r>
  <r>
    <n v="552"/>
    <s v="Female"/>
    <x v="21"/>
    <n v="89.7"/>
    <n v="6.5"/>
    <x v="2"/>
    <x v="0"/>
    <s v="Yes"/>
    <x v="0"/>
    <n v="84.9"/>
    <n v="100"/>
    <x v="0"/>
  </r>
  <r>
    <n v="553"/>
    <s v="Male"/>
    <x v="52"/>
    <n v="95.9"/>
    <n v="4.8"/>
    <x v="0"/>
    <x v="0"/>
    <s v="Yes"/>
    <x v="1"/>
    <n v="60.6"/>
    <n v="78.900000000000006"/>
    <x v="3"/>
  </r>
  <r>
    <n v="554"/>
    <s v="Female"/>
    <x v="40"/>
    <n v="86"/>
    <n v="6.3"/>
    <x v="1"/>
    <x v="0"/>
    <s v="Yes"/>
    <x v="0"/>
    <n v="62.2"/>
    <n v="83.4"/>
    <x v="1"/>
  </r>
  <r>
    <n v="555"/>
    <s v="Male"/>
    <x v="61"/>
    <n v="88.1"/>
    <n v="8"/>
    <x v="1"/>
    <x v="1"/>
    <s v="No"/>
    <x v="0"/>
    <n v="66.3"/>
    <n v="63.4"/>
    <x v="2"/>
  </r>
  <r>
    <n v="556"/>
    <s v="Female"/>
    <x v="50"/>
    <n v="81.099999999999994"/>
    <n v="6.2"/>
    <x v="0"/>
    <x v="0"/>
    <s v="Yes"/>
    <x v="0"/>
    <n v="44.7"/>
    <n v="80.7"/>
    <x v="1"/>
  </r>
  <r>
    <n v="557"/>
    <s v="Female"/>
    <x v="30"/>
    <n v="87.7"/>
    <n v="7.6"/>
    <x v="2"/>
    <x v="0"/>
    <s v="Yes"/>
    <x v="0"/>
    <n v="71.7"/>
    <n v="80.8"/>
    <x v="1"/>
  </r>
  <r>
    <n v="558"/>
    <s v="Female"/>
    <x v="38"/>
    <n v="81.599999999999994"/>
    <n v="6.6"/>
    <x v="1"/>
    <x v="0"/>
    <s v="Yes"/>
    <x v="0"/>
    <n v="47.4"/>
    <n v="73.099999999999994"/>
    <x v="3"/>
  </r>
  <r>
    <n v="559"/>
    <s v="Female"/>
    <x v="1"/>
    <n v="91.2"/>
    <n v="7.2"/>
    <x v="3"/>
    <x v="0"/>
    <s v="No"/>
    <x v="1"/>
    <n v="70.599999999999994"/>
    <n v="99.8"/>
    <x v="0"/>
  </r>
  <r>
    <n v="560"/>
    <s v="Female"/>
    <x v="18"/>
    <n v="81.3"/>
    <n v="5.4"/>
    <x v="1"/>
    <x v="0"/>
    <s v="Yes"/>
    <x v="1"/>
    <n v="80.400000000000006"/>
    <n v="73.5"/>
    <x v="3"/>
  </r>
  <r>
    <n v="561"/>
    <s v="Female"/>
    <x v="23"/>
    <n v="88.8"/>
    <n v="6.9"/>
    <x v="2"/>
    <x v="0"/>
    <s v="Yes"/>
    <x v="0"/>
    <n v="64.3"/>
    <n v="68.2"/>
    <x v="2"/>
  </r>
  <r>
    <n v="562"/>
    <s v="Male"/>
    <x v="44"/>
    <n v="84.7"/>
    <n v="3.2"/>
    <x v="0"/>
    <x v="1"/>
    <s v="No"/>
    <x v="0"/>
    <n v="90.1"/>
    <n v="83.9"/>
    <x v="1"/>
  </r>
  <r>
    <n v="563"/>
    <s v="Male"/>
    <x v="38"/>
    <n v="96.3"/>
    <n v="6.6"/>
    <x v="3"/>
    <x v="1"/>
    <s v="No"/>
    <x v="0"/>
    <n v="52.5"/>
    <n v="75.3"/>
    <x v="3"/>
  </r>
  <r>
    <n v="564"/>
    <s v="Male"/>
    <x v="52"/>
    <n v="84.5"/>
    <n v="4.8"/>
    <x v="1"/>
    <x v="1"/>
    <s v="No"/>
    <x v="1"/>
    <n v="84.3"/>
    <n v="78.7"/>
    <x v="3"/>
  </r>
  <r>
    <n v="565"/>
    <s v="Female"/>
    <x v="28"/>
    <n v="67.3"/>
    <n v="8.1999999999999993"/>
    <x v="0"/>
    <x v="0"/>
    <s v="Yes"/>
    <x v="0"/>
    <n v="78.099999999999994"/>
    <n v="82.8"/>
    <x v="1"/>
  </r>
  <r>
    <n v="566"/>
    <s v="Female"/>
    <x v="0"/>
    <n v="97.6"/>
    <n v="7.7"/>
    <x v="1"/>
    <x v="0"/>
    <s v="Yes"/>
    <x v="0"/>
    <n v="49.4"/>
    <n v="100"/>
    <x v="0"/>
  </r>
  <r>
    <n v="567"/>
    <s v="Female"/>
    <x v="61"/>
    <n v="75.900000000000006"/>
    <n v="7.4"/>
    <x v="1"/>
    <x v="0"/>
    <s v="No"/>
    <x v="0"/>
    <n v="100"/>
    <n v="92.6"/>
    <x v="0"/>
  </r>
  <r>
    <n v="568"/>
    <s v="Female"/>
    <x v="51"/>
    <n v="78.5"/>
    <n v="8.6"/>
    <x v="2"/>
    <x v="0"/>
    <s v="Yes"/>
    <x v="1"/>
    <n v="69.2"/>
    <n v="99.1"/>
    <x v="0"/>
  </r>
  <r>
    <n v="569"/>
    <s v="Male"/>
    <x v="38"/>
    <n v="79"/>
    <n v="5.7"/>
    <x v="2"/>
    <x v="0"/>
    <s v="No"/>
    <x v="1"/>
    <n v="59.5"/>
    <n v="76.2"/>
    <x v="3"/>
  </r>
  <r>
    <n v="570"/>
    <s v="Male"/>
    <x v="49"/>
    <n v="98.7"/>
    <n v="8.9"/>
    <x v="4"/>
    <x v="0"/>
    <s v="No"/>
    <x v="1"/>
    <n v="53.1"/>
    <n v="90.9"/>
    <x v="0"/>
  </r>
  <r>
    <n v="571"/>
    <s v="Female"/>
    <x v="0"/>
    <n v="63.6"/>
    <n v="7.9"/>
    <x v="0"/>
    <x v="0"/>
    <s v="Yes"/>
    <x v="1"/>
    <n v="67.400000000000006"/>
    <n v="63.3"/>
    <x v="2"/>
  </r>
  <r>
    <n v="572"/>
    <s v="Male"/>
    <x v="5"/>
    <n v="100"/>
    <n v="6.5"/>
    <x v="3"/>
    <x v="0"/>
    <s v="No"/>
    <x v="1"/>
    <n v="68.5"/>
    <n v="85"/>
    <x v="1"/>
  </r>
  <r>
    <n v="573"/>
    <s v="Male"/>
    <x v="17"/>
    <n v="95.6"/>
    <n v="8.1999999999999993"/>
    <x v="1"/>
    <x v="0"/>
    <s v="No"/>
    <x v="1"/>
    <n v="71.2"/>
    <n v="88.7"/>
    <x v="1"/>
  </r>
  <r>
    <n v="574"/>
    <s v="Female"/>
    <x v="5"/>
    <n v="87.2"/>
    <n v="5.5"/>
    <x v="1"/>
    <x v="0"/>
    <s v="Yes"/>
    <x v="0"/>
    <n v="66.400000000000006"/>
    <n v="75.3"/>
    <x v="3"/>
  </r>
  <r>
    <n v="575"/>
    <s v="Male"/>
    <x v="30"/>
    <n v="84.5"/>
    <n v="5.8"/>
    <x v="1"/>
    <x v="0"/>
    <s v="Yes"/>
    <x v="0"/>
    <n v="77.599999999999994"/>
    <n v="84.9"/>
    <x v="1"/>
  </r>
  <r>
    <n v="576"/>
    <s v="Female"/>
    <x v="11"/>
    <n v="87.9"/>
    <n v="6.1"/>
    <x v="0"/>
    <x v="0"/>
    <s v="Yes"/>
    <x v="0"/>
    <n v="65.3"/>
    <n v="81.099999999999994"/>
    <x v="1"/>
  </r>
  <r>
    <n v="577"/>
    <s v="Male"/>
    <x v="45"/>
    <n v="90.2"/>
    <n v="6.2"/>
    <x v="0"/>
    <x v="0"/>
    <s v="Yes"/>
    <x v="1"/>
    <n v="46.8"/>
    <n v="75.599999999999994"/>
    <x v="3"/>
  </r>
  <r>
    <n v="578"/>
    <s v="Female"/>
    <x v="21"/>
    <n v="91.5"/>
    <n v="5.5"/>
    <x v="1"/>
    <x v="0"/>
    <s v="Yes"/>
    <x v="0"/>
    <n v="68.2"/>
    <n v="95.5"/>
    <x v="0"/>
  </r>
  <r>
    <n v="579"/>
    <s v="Female"/>
    <x v="38"/>
    <n v="90.6"/>
    <n v="8.3000000000000007"/>
    <x v="0"/>
    <x v="0"/>
    <s v="No"/>
    <x v="0"/>
    <n v="41.6"/>
    <n v="83.3"/>
    <x v="1"/>
  </r>
  <r>
    <n v="580"/>
    <s v="Female"/>
    <x v="51"/>
    <n v="85.9"/>
    <n v="6.5"/>
    <x v="3"/>
    <x v="0"/>
    <s v="No"/>
    <x v="1"/>
    <n v="74.2"/>
    <n v="95.7"/>
    <x v="0"/>
  </r>
  <r>
    <n v="581"/>
    <s v="Female"/>
    <x v="44"/>
    <n v="83"/>
    <n v="7.2"/>
    <x v="0"/>
    <x v="0"/>
    <s v="Yes"/>
    <x v="0"/>
    <n v="58.2"/>
    <n v="70.400000000000006"/>
    <x v="3"/>
  </r>
  <r>
    <n v="582"/>
    <s v="Male"/>
    <x v="7"/>
    <n v="83.5"/>
    <n v="6.1"/>
    <x v="1"/>
    <x v="0"/>
    <s v="Yes"/>
    <x v="1"/>
    <n v="72"/>
    <n v="82.7"/>
    <x v="1"/>
  </r>
  <r>
    <n v="583"/>
    <s v="Female"/>
    <x v="38"/>
    <n v="83.1"/>
    <n v="4.5999999999999996"/>
    <x v="1"/>
    <x v="0"/>
    <s v="No"/>
    <x v="0"/>
    <n v="85.8"/>
    <n v="76.7"/>
    <x v="3"/>
  </r>
  <r>
    <n v="584"/>
    <s v="Female"/>
    <x v="37"/>
    <n v="96.3"/>
    <n v="7.1"/>
    <x v="1"/>
    <x v="0"/>
    <s v="Yes"/>
    <x v="0"/>
    <n v="58.6"/>
    <n v="68.400000000000006"/>
    <x v="2"/>
  </r>
  <r>
    <n v="585"/>
    <s v="Female"/>
    <x v="19"/>
    <n v="90.9"/>
    <n v="4.5"/>
    <x v="1"/>
    <x v="0"/>
    <s v="No"/>
    <x v="0"/>
    <n v="82.7"/>
    <n v="84.6"/>
    <x v="1"/>
  </r>
  <r>
    <n v="586"/>
    <s v="Male"/>
    <x v="44"/>
    <n v="55.6"/>
    <n v="6.7"/>
    <x v="0"/>
    <x v="0"/>
    <s v="Yes"/>
    <x v="0"/>
    <n v="64.8"/>
    <n v="67.7"/>
    <x v="2"/>
  </r>
  <r>
    <n v="587"/>
    <s v="Female"/>
    <x v="50"/>
    <n v="91.6"/>
    <n v="5.2"/>
    <x v="0"/>
    <x v="1"/>
    <s v="Yes"/>
    <x v="0"/>
    <n v="91"/>
    <n v="89.2"/>
    <x v="1"/>
  </r>
  <r>
    <n v="588"/>
    <s v="Male"/>
    <x v="44"/>
    <n v="86.9"/>
    <n v="9.1999999999999993"/>
    <x v="3"/>
    <x v="0"/>
    <s v="Yes"/>
    <x v="0"/>
    <n v="65.599999999999994"/>
    <n v="85"/>
    <x v="1"/>
  </r>
  <r>
    <n v="589"/>
    <s v="Female"/>
    <x v="9"/>
    <n v="84.8"/>
    <n v="7.9"/>
    <x v="0"/>
    <x v="0"/>
    <s v="No"/>
    <x v="0"/>
    <n v="59.9"/>
    <n v="77.3"/>
    <x v="3"/>
  </r>
  <r>
    <n v="590"/>
    <s v="Male"/>
    <x v="57"/>
    <n v="81.099999999999994"/>
    <n v="6.9"/>
    <x v="3"/>
    <x v="0"/>
    <s v="Yes"/>
    <x v="1"/>
    <n v="78.2"/>
    <n v="72.2"/>
    <x v="3"/>
  </r>
  <r>
    <n v="591"/>
    <s v="Male"/>
    <x v="9"/>
    <n v="96.2"/>
    <n v="8.3000000000000007"/>
    <x v="1"/>
    <x v="0"/>
    <s v="No"/>
    <x v="1"/>
    <n v="64.8"/>
    <n v="89"/>
    <x v="1"/>
  </r>
  <r>
    <n v="592"/>
    <s v="Female"/>
    <x v="35"/>
    <n v="94.5"/>
    <n v="5.8"/>
    <x v="0"/>
    <x v="0"/>
    <s v="Yes"/>
    <x v="0"/>
    <n v="59.9"/>
    <n v="63.2"/>
    <x v="2"/>
  </r>
  <r>
    <n v="593"/>
    <s v="Male"/>
    <x v="14"/>
    <n v="77.3"/>
    <n v="7.5"/>
    <x v="3"/>
    <x v="0"/>
    <s v="Yes"/>
    <x v="0"/>
    <n v="64.3"/>
    <n v="73.2"/>
    <x v="3"/>
  </r>
  <r>
    <n v="594"/>
    <s v="Female"/>
    <x v="21"/>
    <n v="89.1"/>
    <n v="7"/>
    <x v="1"/>
    <x v="1"/>
    <s v="Yes"/>
    <x v="0"/>
    <n v="69.5"/>
    <n v="87"/>
    <x v="1"/>
  </r>
  <r>
    <n v="595"/>
    <s v="Female"/>
    <x v="58"/>
    <n v="75.3"/>
    <n v="7.1"/>
    <x v="1"/>
    <x v="0"/>
    <s v="No"/>
    <x v="1"/>
    <n v="86.1"/>
    <n v="88.5"/>
    <x v="1"/>
  </r>
  <r>
    <n v="596"/>
    <s v="Female"/>
    <x v="39"/>
    <n v="71.2"/>
    <n v="8.3000000000000007"/>
    <x v="4"/>
    <x v="0"/>
    <s v="No"/>
    <x v="0"/>
    <n v="46.8"/>
    <n v="80.400000000000006"/>
    <x v="1"/>
  </r>
  <r>
    <n v="597"/>
    <s v="Male"/>
    <x v="41"/>
    <n v="78.7"/>
    <n v="7.7"/>
    <x v="1"/>
    <x v="0"/>
    <s v="Yes"/>
    <x v="1"/>
    <n v="70.3"/>
    <n v="80.2"/>
    <x v="1"/>
  </r>
  <r>
    <n v="598"/>
    <s v="Male"/>
    <x v="38"/>
    <n v="93.6"/>
    <n v="7.1"/>
    <x v="3"/>
    <x v="1"/>
    <s v="Yes"/>
    <x v="0"/>
    <n v="77.5"/>
    <n v="80.900000000000006"/>
    <x v="1"/>
  </r>
  <r>
    <n v="599"/>
    <s v="Female"/>
    <x v="15"/>
    <n v="94.5"/>
    <n v="4.8"/>
    <x v="1"/>
    <x v="0"/>
    <s v="Yes"/>
    <x v="0"/>
    <n v="72.3"/>
    <n v="86.4"/>
    <x v="1"/>
  </r>
  <r>
    <n v="600"/>
    <s v="Female"/>
    <x v="22"/>
    <n v="90.1"/>
    <n v="5.6"/>
    <x v="3"/>
    <x v="0"/>
    <s v="Yes"/>
    <x v="0"/>
    <n v="85.7"/>
    <n v="86.3"/>
    <x v="1"/>
  </r>
  <r>
    <n v="601"/>
    <s v="Male"/>
    <x v="25"/>
    <n v="92.3"/>
    <n v="6.7"/>
    <x v="1"/>
    <x v="0"/>
    <s v="Yes"/>
    <x v="1"/>
    <n v="69.099999999999994"/>
    <n v="93.4"/>
    <x v="0"/>
  </r>
  <r>
    <n v="602"/>
    <s v="Female"/>
    <x v="50"/>
    <n v="90.2"/>
    <n v="6.9"/>
    <x v="1"/>
    <x v="0"/>
    <s v="No"/>
    <x v="0"/>
    <n v="67.8"/>
    <n v="95.1"/>
    <x v="0"/>
  </r>
  <r>
    <n v="603"/>
    <s v="Female"/>
    <x v="46"/>
    <n v="78.599999999999994"/>
    <n v="5.4"/>
    <x v="0"/>
    <x v="0"/>
    <s v="No"/>
    <x v="0"/>
    <n v="77.099999999999994"/>
    <n v="83.9"/>
    <x v="1"/>
  </r>
  <r>
    <n v="604"/>
    <s v="Female"/>
    <x v="15"/>
    <n v="89.3"/>
    <n v="9.6999999999999993"/>
    <x v="1"/>
    <x v="0"/>
    <s v="Yes"/>
    <x v="0"/>
    <n v="71.2"/>
    <n v="100"/>
    <x v="0"/>
  </r>
  <r>
    <n v="605"/>
    <s v="Male"/>
    <x v="45"/>
    <n v="93"/>
    <n v="8.6"/>
    <x v="0"/>
    <x v="0"/>
    <s v="Yes"/>
    <x v="0"/>
    <n v="65.3"/>
    <n v="80.900000000000006"/>
    <x v="1"/>
  </r>
  <r>
    <n v="606"/>
    <s v="Male"/>
    <x v="35"/>
    <n v="92.5"/>
    <n v="7.5"/>
    <x v="1"/>
    <x v="0"/>
    <s v="No"/>
    <x v="0"/>
    <n v="76.2"/>
    <n v="76.400000000000006"/>
    <x v="3"/>
  </r>
  <r>
    <n v="607"/>
    <s v="Male"/>
    <x v="28"/>
    <n v="96.9"/>
    <n v="6.9"/>
    <x v="1"/>
    <x v="1"/>
    <s v="No"/>
    <x v="0"/>
    <n v="62.2"/>
    <n v="73.599999999999994"/>
    <x v="3"/>
  </r>
  <r>
    <n v="608"/>
    <s v="Female"/>
    <x v="44"/>
    <n v="92.1"/>
    <n v="6.5"/>
    <x v="1"/>
    <x v="0"/>
    <s v="Yes"/>
    <x v="0"/>
    <n v="62.7"/>
    <n v="84"/>
    <x v="1"/>
  </r>
  <r>
    <n v="609"/>
    <s v="Female"/>
    <x v="41"/>
    <n v="88.5"/>
    <n v="5.7"/>
    <x v="1"/>
    <x v="1"/>
    <s v="Yes"/>
    <x v="1"/>
    <n v="63.7"/>
    <n v="58.6"/>
    <x v="4"/>
  </r>
  <r>
    <n v="610"/>
    <s v="Female"/>
    <x v="28"/>
    <n v="95.7"/>
    <n v="6.9"/>
    <x v="2"/>
    <x v="0"/>
    <s v="Yes"/>
    <x v="0"/>
    <n v="86.2"/>
    <n v="96.3"/>
    <x v="0"/>
  </r>
  <r>
    <n v="611"/>
    <s v="Male"/>
    <x v="7"/>
    <n v="84.7"/>
    <n v="7.1"/>
    <x v="1"/>
    <x v="0"/>
    <s v="Yes"/>
    <x v="0"/>
    <n v="31.3"/>
    <n v="78.8"/>
    <x v="3"/>
  </r>
  <r>
    <n v="612"/>
    <s v="Female"/>
    <x v="30"/>
    <n v="76.2"/>
    <n v="5.3"/>
    <x v="0"/>
    <x v="0"/>
    <s v="Yes"/>
    <x v="1"/>
    <n v="74.7"/>
    <n v="79.8"/>
    <x v="3"/>
  </r>
  <r>
    <n v="613"/>
    <s v="Female"/>
    <x v="3"/>
    <n v="83.4"/>
    <n v="7.2"/>
    <x v="1"/>
    <x v="0"/>
    <s v="Yes"/>
    <x v="1"/>
    <n v="70.400000000000006"/>
    <n v="70"/>
    <x v="3"/>
  </r>
  <r>
    <n v="614"/>
    <s v="Female"/>
    <x v="17"/>
    <n v="77.599999999999994"/>
    <n v="6.6"/>
    <x v="1"/>
    <x v="0"/>
    <s v="No"/>
    <x v="0"/>
    <n v="49.8"/>
    <n v="75"/>
    <x v="3"/>
  </r>
  <r>
    <n v="615"/>
    <s v="Female"/>
    <x v="31"/>
    <n v="78.2"/>
    <n v="4.5"/>
    <x v="2"/>
    <x v="0"/>
    <s v="Yes"/>
    <x v="1"/>
    <n v="73.7"/>
    <n v="95"/>
    <x v="0"/>
  </r>
  <r>
    <n v="616"/>
    <s v="Male"/>
    <x v="2"/>
    <n v="83.6"/>
    <n v="5.8"/>
    <x v="1"/>
    <x v="0"/>
    <s v="Yes"/>
    <x v="0"/>
    <n v="75.7"/>
    <n v="92.4"/>
    <x v="0"/>
  </r>
  <r>
    <n v="617"/>
    <s v="Male"/>
    <x v="16"/>
    <n v="77.099999999999994"/>
    <n v="6.3"/>
    <x v="2"/>
    <x v="0"/>
    <s v="Yes"/>
    <x v="1"/>
    <n v="77.099999999999994"/>
    <n v="86.4"/>
    <x v="1"/>
  </r>
  <r>
    <n v="618"/>
    <s v="Female"/>
    <x v="44"/>
    <n v="81.900000000000006"/>
    <n v="9.1"/>
    <x v="1"/>
    <x v="0"/>
    <s v="No"/>
    <x v="0"/>
    <n v="38.200000000000003"/>
    <n v="79.099999999999994"/>
    <x v="3"/>
  </r>
  <r>
    <n v="619"/>
    <s v="Male"/>
    <x v="30"/>
    <n v="66.099999999999994"/>
    <n v="7.5"/>
    <x v="3"/>
    <x v="0"/>
    <s v="No"/>
    <x v="0"/>
    <n v="86.4"/>
    <n v="91.5"/>
    <x v="0"/>
  </r>
  <r>
    <n v="620"/>
    <s v="Male"/>
    <x v="39"/>
    <n v="87.1"/>
    <n v="5.2"/>
    <x v="0"/>
    <x v="0"/>
    <s v="Yes"/>
    <x v="0"/>
    <n v="61.1"/>
    <n v="80.3"/>
    <x v="1"/>
  </r>
  <r>
    <n v="621"/>
    <s v="Female"/>
    <x v="50"/>
    <n v="85"/>
    <n v="7.4"/>
    <x v="4"/>
    <x v="0"/>
    <s v="Yes"/>
    <x v="0"/>
    <n v="78.2"/>
    <n v="98.3"/>
    <x v="0"/>
  </r>
  <r>
    <n v="622"/>
    <s v="Female"/>
    <x v="30"/>
    <n v="76.8"/>
    <n v="4.9000000000000004"/>
    <x v="0"/>
    <x v="1"/>
    <s v="No"/>
    <x v="0"/>
    <n v="78.900000000000006"/>
    <n v="79.3"/>
    <x v="3"/>
  </r>
  <r>
    <n v="623"/>
    <s v="Male"/>
    <x v="33"/>
    <n v="91.6"/>
    <n v="8.1"/>
    <x v="0"/>
    <x v="0"/>
    <s v="Yes"/>
    <x v="0"/>
    <n v="59.5"/>
    <n v="89.5"/>
    <x v="1"/>
  </r>
  <r>
    <n v="624"/>
    <s v="Female"/>
    <x v="40"/>
    <n v="94.4"/>
    <n v="6.2"/>
    <x v="1"/>
    <x v="0"/>
    <s v="Yes"/>
    <x v="1"/>
    <n v="77.900000000000006"/>
    <n v="75.7"/>
    <x v="3"/>
  </r>
  <r>
    <n v="625"/>
    <s v="Male"/>
    <x v="11"/>
    <n v="68.900000000000006"/>
    <n v="6.7"/>
    <x v="1"/>
    <x v="0"/>
    <s v="Yes"/>
    <x v="1"/>
    <n v="65.400000000000006"/>
    <n v="89.6"/>
    <x v="1"/>
  </r>
  <r>
    <n v="626"/>
    <s v="Female"/>
    <x v="45"/>
    <n v="77.400000000000006"/>
    <n v="8.4"/>
    <x v="2"/>
    <x v="0"/>
    <s v="Yes"/>
    <x v="1"/>
    <n v="45.1"/>
    <n v="71"/>
    <x v="3"/>
  </r>
  <r>
    <n v="627"/>
    <s v="Male"/>
    <x v="26"/>
    <n v="77.3"/>
    <n v="5.3"/>
    <x v="1"/>
    <x v="1"/>
    <s v="Yes"/>
    <x v="0"/>
    <n v="84"/>
    <n v="96.8"/>
    <x v="0"/>
  </r>
  <r>
    <n v="628"/>
    <s v="Female"/>
    <x v="44"/>
    <n v="75.599999999999994"/>
    <n v="5.0999999999999996"/>
    <x v="0"/>
    <x v="0"/>
    <s v="No"/>
    <x v="1"/>
    <n v="60.7"/>
    <n v="61.9"/>
    <x v="2"/>
  </r>
  <r>
    <n v="629"/>
    <s v="Male"/>
    <x v="27"/>
    <n v="93.3"/>
    <n v="6.1"/>
    <x v="3"/>
    <x v="0"/>
    <s v="No"/>
    <x v="1"/>
    <n v="59.7"/>
    <n v="93.9"/>
    <x v="0"/>
  </r>
  <r>
    <n v="630"/>
    <s v="Male"/>
    <x v="45"/>
    <n v="83.1"/>
    <n v="8"/>
    <x v="1"/>
    <x v="0"/>
    <s v="Yes"/>
    <x v="0"/>
    <n v="65.2"/>
    <n v="81.3"/>
    <x v="1"/>
  </r>
  <r>
    <n v="631"/>
    <s v="Male"/>
    <x v="44"/>
    <n v="82.4"/>
    <n v="5"/>
    <x v="2"/>
    <x v="0"/>
    <s v="No"/>
    <x v="0"/>
    <n v="73.3"/>
    <n v="77.599999999999994"/>
    <x v="3"/>
  </r>
  <r>
    <n v="632"/>
    <s v="Female"/>
    <x v="9"/>
    <n v="65"/>
    <n v="3.4"/>
    <x v="3"/>
    <x v="1"/>
    <s v="Yes"/>
    <x v="0"/>
    <n v="69.3"/>
    <n v="71.400000000000006"/>
    <x v="3"/>
  </r>
  <r>
    <n v="633"/>
    <s v="Male"/>
    <x v="56"/>
    <n v="91.4"/>
    <n v="6.3"/>
    <x v="0"/>
    <x v="0"/>
    <s v="Yes"/>
    <x v="1"/>
    <n v="76.599999999999994"/>
    <n v="89.4"/>
    <x v="1"/>
  </r>
  <r>
    <n v="634"/>
    <s v="Male"/>
    <x v="39"/>
    <n v="72.599999999999994"/>
    <n v="7.5"/>
    <x v="4"/>
    <x v="0"/>
    <s v="No"/>
    <x v="1"/>
    <n v="53.9"/>
    <n v="74.3"/>
    <x v="3"/>
  </r>
  <r>
    <n v="635"/>
    <s v="Female"/>
    <x v="20"/>
    <n v="85.6"/>
    <n v="8.1999999999999993"/>
    <x v="1"/>
    <x v="0"/>
    <s v="No"/>
    <x v="0"/>
    <n v="61.1"/>
    <n v="76"/>
    <x v="3"/>
  </r>
  <r>
    <n v="636"/>
    <s v="Female"/>
    <x v="3"/>
    <n v="87.8"/>
    <n v="6.2"/>
    <x v="1"/>
    <x v="0"/>
    <s v="Yes"/>
    <x v="1"/>
    <n v="68.599999999999994"/>
    <n v="96.3"/>
    <x v="0"/>
  </r>
  <r>
    <n v="637"/>
    <s v="Male"/>
    <x v="15"/>
    <n v="98.6"/>
    <n v="6.3"/>
    <x v="0"/>
    <x v="0"/>
    <s v="Yes"/>
    <x v="0"/>
    <n v="92.8"/>
    <n v="100"/>
    <x v="0"/>
  </r>
  <r>
    <n v="638"/>
    <s v="Male"/>
    <x v="66"/>
    <n v="71.900000000000006"/>
    <n v="8.1999999999999993"/>
    <x v="1"/>
    <x v="0"/>
    <s v="No"/>
    <x v="0"/>
    <n v="68.599999999999994"/>
    <n v="99.9"/>
    <x v="0"/>
  </r>
  <r>
    <n v="639"/>
    <s v="Female"/>
    <x v="27"/>
    <n v="54.8"/>
    <n v="4.5999999999999996"/>
    <x v="3"/>
    <x v="0"/>
    <s v="No"/>
    <x v="0"/>
    <n v="83"/>
    <n v="83.8"/>
    <x v="1"/>
  </r>
  <r>
    <n v="640"/>
    <s v="Female"/>
    <x v="5"/>
    <n v="86.8"/>
    <n v="6.3"/>
    <x v="2"/>
    <x v="1"/>
    <s v="No"/>
    <x v="1"/>
    <n v="70.5"/>
    <n v="79.400000000000006"/>
    <x v="3"/>
  </r>
  <r>
    <n v="641"/>
    <s v="Female"/>
    <x v="16"/>
    <n v="100"/>
    <n v="7"/>
    <x v="0"/>
    <x v="0"/>
    <s v="Yes"/>
    <x v="0"/>
    <n v="64.2"/>
    <n v="86"/>
    <x v="1"/>
  </r>
  <r>
    <n v="642"/>
    <s v="Female"/>
    <x v="19"/>
    <n v="97.4"/>
    <n v="7.3"/>
    <x v="1"/>
    <x v="0"/>
    <s v="Yes"/>
    <x v="0"/>
    <n v="67"/>
    <n v="97.9"/>
    <x v="0"/>
  </r>
  <r>
    <n v="643"/>
    <s v="Female"/>
    <x v="17"/>
    <n v="87.1"/>
    <n v="6.2"/>
    <x v="2"/>
    <x v="0"/>
    <s v="Yes"/>
    <x v="0"/>
    <n v="68"/>
    <n v="90.5"/>
    <x v="0"/>
  </r>
  <r>
    <n v="644"/>
    <s v="Male"/>
    <x v="41"/>
    <n v="80.099999999999994"/>
    <n v="6.8"/>
    <x v="0"/>
    <x v="1"/>
    <s v="Yes"/>
    <x v="0"/>
    <n v="77.2"/>
    <n v="70.400000000000006"/>
    <x v="3"/>
  </r>
  <r>
    <n v="645"/>
    <s v="Female"/>
    <x v="28"/>
    <n v="93.1"/>
    <n v="3.8"/>
    <x v="0"/>
    <x v="0"/>
    <s v="No"/>
    <x v="1"/>
    <n v="86.5"/>
    <n v="82.9"/>
    <x v="1"/>
  </r>
  <r>
    <n v="646"/>
    <s v="Male"/>
    <x v="53"/>
    <n v="75.3"/>
    <n v="6"/>
    <x v="0"/>
    <x v="0"/>
    <s v="Yes"/>
    <x v="1"/>
    <n v="74.3"/>
    <n v="75.5"/>
    <x v="3"/>
  </r>
  <r>
    <n v="647"/>
    <s v="Male"/>
    <x v="39"/>
    <n v="89.8"/>
    <n v="7.3"/>
    <x v="2"/>
    <x v="0"/>
    <s v="Yes"/>
    <x v="0"/>
    <n v="84.2"/>
    <n v="100"/>
    <x v="0"/>
  </r>
  <r>
    <n v="648"/>
    <s v="Male"/>
    <x v="30"/>
    <n v="90.1"/>
    <n v="5.6"/>
    <x v="0"/>
    <x v="0"/>
    <s v="No"/>
    <x v="0"/>
    <n v="58.4"/>
    <n v="94"/>
    <x v="0"/>
  </r>
  <r>
    <n v="649"/>
    <s v="Female"/>
    <x v="9"/>
    <n v="95.6"/>
    <n v="6.9"/>
    <x v="3"/>
    <x v="0"/>
    <s v="Yes"/>
    <x v="0"/>
    <n v="65"/>
    <n v="88.9"/>
    <x v="1"/>
  </r>
  <r>
    <n v="650"/>
    <s v="Male"/>
    <x v="36"/>
    <n v="100"/>
    <n v="7.3"/>
    <x v="3"/>
    <x v="0"/>
    <s v="Yes"/>
    <x v="0"/>
    <n v="61.3"/>
    <n v="97.3"/>
    <x v="0"/>
  </r>
  <r>
    <n v="651"/>
    <s v="Male"/>
    <x v="34"/>
    <n v="88.9"/>
    <n v="6.4"/>
    <x v="1"/>
    <x v="0"/>
    <s v="No"/>
    <x v="0"/>
    <n v="73.8"/>
    <n v="59.5"/>
    <x v="4"/>
  </r>
  <r>
    <n v="652"/>
    <s v="Female"/>
    <x v="59"/>
    <n v="79.900000000000006"/>
    <n v="7"/>
    <x v="0"/>
    <x v="0"/>
    <s v="No"/>
    <x v="0"/>
    <n v="65.7"/>
    <n v="73.3"/>
    <x v="3"/>
  </r>
  <r>
    <n v="653"/>
    <s v="Male"/>
    <x v="45"/>
    <n v="84.7"/>
    <n v="5.6"/>
    <x v="3"/>
    <x v="0"/>
    <s v="No"/>
    <x v="0"/>
    <n v="78.8"/>
    <n v="88"/>
    <x v="1"/>
  </r>
  <r>
    <n v="654"/>
    <s v="Male"/>
    <x v="33"/>
    <n v="67.3"/>
    <n v="6.6"/>
    <x v="0"/>
    <x v="1"/>
    <s v="Yes"/>
    <x v="1"/>
    <n v="58.8"/>
    <n v="74.8"/>
    <x v="3"/>
  </r>
  <r>
    <n v="655"/>
    <s v="Female"/>
    <x v="47"/>
    <n v="78.099999999999994"/>
    <n v="7.5"/>
    <x v="3"/>
    <x v="1"/>
    <s v="No"/>
    <x v="0"/>
    <n v="70.5"/>
    <n v="89.9"/>
    <x v="1"/>
  </r>
  <r>
    <n v="656"/>
    <s v="Male"/>
    <x v="9"/>
    <n v="80.900000000000006"/>
    <n v="7"/>
    <x v="2"/>
    <x v="0"/>
    <s v="No"/>
    <x v="1"/>
    <n v="78.2"/>
    <n v="72.599999999999994"/>
    <x v="3"/>
  </r>
  <r>
    <n v="657"/>
    <s v="Male"/>
    <x v="33"/>
    <n v="79.8"/>
    <n v="6.1"/>
    <x v="0"/>
    <x v="0"/>
    <s v="Yes"/>
    <x v="0"/>
    <n v="45.2"/>
    <n v="83.6"/>
    <x v="1"/>
  </r>
  <r>
    <n v="658"/>
    <s v="Male"/>
    <x v="38"/>
    <n v="86.5"/>
    <n v="7.1"/>
    <x v="3"/>
    <x v="0"/>
    <s v="Yes"/>
    <x v="0"/>
    <n v="95.5"/>
    <n v="100"/>
    <x v="0"/>
  </r>
  <r>
    <n v="659"/>
    <s v="Female"/>
    <x v="46"/>
    <n v="76.8"/>
    <n v="7.7"/>
    <x v="3"/>
    <x v="0"/>
    <s v="No"/>
    <x v="0"/>
    <n v="66.599999999999994"/>
    <n v="84.3"/>
    <x v="1"/>
  </r>
  <r>
    <n v="660"/>
    <s v="Female"/>
    <x v="50"/>
    <n v="96.2"/>
    <n v="4.3"/>
    <x v="3"/>
    <x v="0"/>
    <s v="Yes"/>
    <x v="1"/>
    <n v="45.7"/>
    <n v="85.4"/>
    <x v="1"/>
  </r>
  <r>
    <n v="661"/>
    <s v="Female"/>
    <x v="30"/>
    <n v="85"/>
    <n v="8.1999999999999993"/>
    <x v="0"/>
    <x v="0"/>
    <s v="No"/>
    <x v="0"/>
    <n v="71.900000000000006"/>
    <n v="95.2"/>
    <x v="0"/>
  </r>
  <r>
    <n v="662"/>
    <s v="Male"/>
    <x v="14"/>
    <n v="84.9"/>
    <n v="6.4"/>
    <x v="1"/>
    <x v="0"/>
    <s v="Yes"/>
    <x v="1"/>
    <n v="70.400000000000006"/>
    <n v="69"/>
    <x v="2"/>
  </r>
  <r>
    <n v="663"/>
    <s v="Male"/>
    <x v="51"/>
    <n v="81.7"/>
    <n v="7.3"/>
    <x v="0"/>
    <x v="0"/>
    <s v="Yes"/>
    <x v="0"/>
    <n v="69"/>
    <n v="94.2"/>
    <x v="0"/>
  </r>
  <r>
    <n v="664"/>
    <s v="Female"/>
    <x v="31"/>
    <n v="86.6"/>
    <n v="8.1999999999999993"/>
    <x v="3"/>
    <x v="0"/>
    <s v="Yes"/>
    <x v="1"/>
    <n v="81.900000000000006"/>
    <n v="99.7"/>
    <x v="0"/>
  </r>
  <r>
    <n v="665"/>
    <s v="Male"/>
    <x v="3"/>
    <n v="93.3"/>
    <n v="5.2"/>
    <x v="0"/>
    <x v="0"/>
    <s v="No"/>
    <x v="0"/>
    <n v="79"/>
    <n v="85.8"/>
    <x v="1"/>
  </r>
  <r>
    <n v="666"/>
    <s v="Male"/>
    <x v="39"/>
    <n v="76.3"/>
    <n v="5.9"/>
    <x v="3"/>
    <x v="0"/>
    <s v="Yes"/>
    <x v="0"/>
    <n v="73.599999999999994"/>
    <n v="91.7"/>
    <x v="0"/>
  </r>
  <r>
    <n v="667"/>
    <s v="Female"/>
    <x v="5"/>
    <n v="78.400000000000006"/>
    <n v="6.5"/>
    <x v="0"/>
    <x v="0"/>
    <s v="Yes"/>
    <x v="0"/>
    <n v="75.400000000000006"/>
    <n v="92.2"/>
    <x v="0"/>
  </r>
  <r>
    <n v="668"/>
    <s v="Female"/>
    <x v="52"/>
    <n v="82"/>
    <n v="5.9"/>
    <x v="0"/>
    <x v="0"/>
    <s v="No"/>
    <x v="0"/>
    <n v="68.7"/>
    <n v="96.3"/>
    <x v="0"/>
  </r>
  <r>
    <n v="669"/>
    <s v="Male"/>
    <x v="40"/>
    <n v="71.5"/>
    <n v="8.9"/>
    <x v="1"/>
    <x v="0"/>
    <s v="No"/>
    <x v="1"/>
    <n v="91.3"/>
    <n v="97.6"/>
    <x v="0"/>
  </r>
  <r>
    <n v="670"/>
    <s v="Male"/>
    <x v="44"/>
    <n v="76.8"/>
    <n v="5.8"/>
    <x v="3"/>
    <x v="0"/>
    <s v="No"/>
    <x v="1"/>
    <n v="52.2"/>
    <n v="66.400000000000006"/>
    <x v="2"/>
  </r>
  <r>
    <n v="671"/>
    <s v="Male"/>
    <x v="15"/>
    <n v="80.2"/>
    <n v="6.1"/>
    <x v="0"/>
    <x v="0"/>
    <s v="Yes"/>
    <x v="0"/>
    <n v="71.7"/>
    <n v="60.8"/>
    <x v="2"/>
  </r>
  <r>
    <n v="672"/>
    <s v="Female"/>
    <x v="8"/>
    <n v="93.7"/>
    <n v="7"/>
    <x v="1"/>
    <x v="1"/>
    <s v="Yes"/>
    <x v="0"/>
    <n v="70.8"/>
    <n v="99.8"/>
    <x v="0"/>
  </r>
  <r>
    <n v="673"/>
    <s v="Female"/>
    <x v="20"/>
    <n v="87.6"/>
    <n v="5.4"/>
    <x v="1"/>
    <x v="0"/>
    <s v="No"/>
    <x v="1"/>
    <n v="79.8"/>
    <n v="85.2"/>
    <x v="1"/>
  </r>
  <r>
    <n v="674"/>
    <s v="Female"/>
    <x v="55"/>
    <n v="86.9"/>
    <n v="6.3"/>
    <x v="3"/>
    <x v="0"/>
    <s v="No"/>
    <x v="0"/>
    <n v="59.9"/>
    <n v="73.2"/>
    <x v="3"/>
  </r>
  <r>
    <n v="675"/>
    <s v="Female"/>
    <x v="58"/>
    <n v="93.5"/>
    <n v="7.2"/>
    <x v="0"/>
    <x v="0"/>
    <s v="Yes"/>
    <x v="0"/>
    <n v="49.1"/>
    <n v="83.8"/>
    <x v="1"/>
  </r>
  <r>
    <n v="676"/>
    <s v="Male"/>
    <x v="35"/>
    <n v="83.6"/>
    <n v="6.4"/>
    <x v="1"/>
    <x v="1"/>
    <s v="Yes"/>
    <x v="1"/>
    <n v="71.900000000000006"/>
    <n v="61.3"/>
    <x v="2"/>
  </r>
  <r>
    <n v="677"/>
    <s v="Female"/>
    <x v="49"/>
    <n v="88.9"/>
    <n v="6.7"/>
    <x v="2"/>
    <x v="1"/>
    <s v="No"/>
    <x v="1"/>
    <n v="73.400000000000006"/>
    <n v="90.6"/>
    <x v="0"/>
  </r>
  <r>
    <n v="678"/>
    <s v="Female"/>
    <x v="10"/>
    <n v="84"/>
    <n v="6.2"/>
    <x v="3"/>
    <x v="0"/>
    <s v="Yes"/>
    <x v="1"/>
    <n v="87.9"/>
    <n v="67.7"/>
    <x v="2"/>
  </r>
  <r>
    <n v="679"/>
    <s v="Female"/>
    <x v="56"/>
    <n v="87.7"/>
    <n v="5"/>
    <x v="2"/>
    <x v="1"/>
    <s v="No"/>
    <x v="0"/>
    <n v="54.8"/>
    <n v="63.6"/>
    <x v="2"/>
  </r>
  <r>
    <n v="680"/>
    <s v="Female"/>
    <x v="22"/>
    <n v="79.2"/>
    <n v="7.2"/>
    <x v="0"/>
    <x v="0"/>
    <s v="Yes"/>
    <x v="0"/>
    <n v="83.9"/>
    <n v="84.1"/>
    <x v="1"/>
  </r>
  <r>
    <n v="681"/>
    <s v="Female"/>
    <x v="61"/>
    <n v="60.6"/>
    <n v="8.9"/>
    <x v="0"/>
    <x v="0"/>
    <s v="Yes"/>
    <x v="0"/>
    <n v="98.4"/>
    <n v="86.2"/>
    <x v="1"/>
  </r>
  <r>
    <n v="682"/>
    <s v="Male"/>
    <x v="49"/>
    <n v="83.7"/>
    <n v="6.8"/>
    <x v="4"/>
    <x v="0"/>
    <s v="No"/>
    <x v="0"/>
    <n v="65.5"/>
    <n v="93.9"/>
    <x v="0"/>
  </r>
  <r>
    <n v="683"/>
    <s v="Male"/>
    <x v="9"/>
    <n v="99.2"/>
    <n v="7.1"/>
    <x v="0"/>
    <x v="0"/>
    <s v="Yes"/>
    <x v="1"/>
    <n v="54.5"/>
    <n v="73.900000000000006"/>
    <x v="3"/>
  </r>
  <r>
    <n v="684"/>
    <s v="Female"/>
    <x v="0"/>
    <n v="94.3"/>
    <n v="7.6"/>
    <x v="3"/>
    <x v="1"/>
    <s v="Yes"/>
    <x v="0"/>
    <n v="65.099999999999994"/>
    <n v="79.3"/>
    <x v="3"/>
  </r>
  <r>
    <n v="685"/>
    <s v="Male"/>
    <x v="38"/>
    <n v="94.7"/>
    <n v="5.3"/>
    <x v="1"/>
    <x v="0"/>
    <s v="Yes"/>
    <x v="0"/>
    <n v="70.2"/>
    <n v="83.8"/>
    <x v="1"/>
  </r>
  <r>
    <n v="686"/>
    <s v="Female"/>
    <x v="5"/>
    <n v="97.4"/>
    <n v="8.8000000000000007"/>
    <x v="0"/>
    <x v="1"/>
    <s v="Yes"/>
    <x v="1"/>
    <n v="76.8"/>
    <n v="91.7"/>
    <x v="0"/>
  </r>
  <r>
    <n v="687"/>
    <s v="Female"/>
    <x v="16"/>
    <n v="85.9"/>
    <n v="7"/>
    <x v="1"/>
    <x v="0"/>
    <s v="No"/>
    <x v="0"/>
    <n v="62.9"/>
    <n v="91.7"/>
    <x v="0"/>
  </r>
  <r>
    <n v="688"/>
    <s v="Male"/>
    <x v="61"/>
    <n v="87"/>
    <n v="8.8000000000000007"/>
    <x v="1"/>
    <x v="0"/>
    <s v="No"/>
    <x v="0"/>
    <n v="88.7"/>
    <n v="74.400000000000006"/>
    <x v="3"/>
  </r>
  <r>
    <n v="689"/>
    <s v="Male"/>
    <x v="29"/>
    <n v="78.8"/>
    <n v="5.9"/>
    <x v="1"/>
    <x v="0"/>
    <s v="No"/>
    <x v="0"/>
    <n v="56.6"/>
    <n v="81.5"/>
    <x v="1"/>
  </r>
  <r>
    <n v="690"/>
    <s v="Female"/>
    <x v="9"/>
    <n v="81.8"/>
    <n v="9"/>
    <x v="1"/>
    <x v="0"/>
    <s v="Yes"/>
    <x v="0"/>
    <n v="49.1"/>
    <n v="67.7"/>
    <x v="2"/>
  </r>
  <r>
    <n v="691"/>
    <s v="Female"/>
    <x v="23"/>
    <n v="91.2"/>
    <n v="7.7"/>
    <x v="2"/>
    <x v="0"/>
    <s v="Yes"/>
    <x v="1"/>
    <n v="83.3"/>
    <n v="71"/>
    <x v="3"/>
  </r>
  <r>
    <n v="692"/>
    <s v="Female"/>
    <x v="55"/>
    <n v="97"/>
    <n v="7.5"/>
    <x v="1"/>
    <x v="0"/>
    <s v="Yes"/>
    <x v="1"/>
    <n v="42.7"/>
    <n v="79.900000000000006"/>
    <x v="3"/>
  </r>
  <r>
    <n v="693"/>
    <s v="Male"/>
    <x v="25"/>
    <n v="83.6"/>
    <n v="7.1"/>
    <x v="3"/>
    <x v="1"/>
    <s v="No"/>
    <x v="0"/>
    <n v="67.599999999999994"/>
    <n v="92.2"/>
    <x v="0"/>
  </r>
  <r>
    <n v="694"/>
    <s v="Female"/>
    <x v="50"/>
    <n v="80.5"/>
    <n v="6.5"/>
    <x v="3"/>
    <x v="0"/>
    <s v="No"/>
    <x v="1"/>
    <n v="100"/>
    <n v="100"/>
    <x v="0"/>
  </r>
  <r>
    <n v="695"/>
    <s v="Female"/>
    <x v="56"/>
    <n v="85"/>
    <n v="8.1999999999999993"/>
    <x v="0"/>
    <x v="0"/>
    <s v="No"/>
    <x v="0"/>
    <n v="69.900000000000006"/>
    <n v="89.6"/>
    <x v="1"/>
  </r>
  <r>
    <n v="696"/>
    <s v="Female"/>
    <x v="56"/>
    <n v="91"/>
    <n v="7"/>
    <x v="1"/>
    <x v="0"/>
    <s v="Yes"/>
    <x v="0"/>
    <n v="56.6"/>
    <n v="77.5"/>
    <x v="3"/>
  </r>
  <r>
    <n v="697"/>
    <s v="Male"/>
    <x v="56"/>
    <n v="70.599999999999994"/>
    <n v="4.4000000000000004"/>
    <x v="3"/>
    <x v="0"/>
    <s v="Yes"/>
    <x v="0"/>
    <n v="69.3"/>
    <n v="72.599999999999994"/>
    <x v="3"/>
  </r>
  <r>
    <n v="698"/>
    <s v="Female"/>
    <x v="26"/>
    <n v="62"/>
    <n v="5.5"/>
    <x v="0"/>
    <x v="1"/>
    <s v="Yes"/>
    <x v="0"/>
    <n v="69.400000000000006"/>
    <n v="97.9"/>
    <x v="0"/>
  </r>
  <r>
    <n v="699"/>
    <s v="Female"/>
    <x v="39"/>
    <n v="79.5"/>
    <n v="6.6"/>
    <x v="3"/>
    <x v="0"/>
    <s v="Yes"/>
    <x v="0"/>
    <n v="71.900000000000006"/>
    <n v="85.5"/>
    <x v="1"/>
  </r>
  <r>
    <n v="700"/>
    <s v="Male"/>
    <x v="39"/>
    <n v="72.8"/>
    <n v="7.2"/>
    <x v="3"/>
    <x v="0"/>
    <s v="Yes"/>
    <x v="0"/>
    <n v="77.900000000000006"/>
    <n v="92.1"/>
    <x v="0"/>
  </r>
  <r>
    <n v="701"/>
    <s v="Female"/>
    <x v="29"/>
    <n v="79.900000000000006"/>
    <n v="6.7"/>
    <x v="2"/>
    <x v="0"/>
    <s v="No"/>
    <x v="0"/>
    <n v="57.5"/>
    <n v="84.5"/>
    <x v="1"/>
  </r>
  <r>
    <n v="702"/>
    <s v="Female"/>
    <x v="52"/>
    <n v="83.5"/>
    <n v="8.3000000000000007"/>
    <x v="0"/>
    <x v="0"/>
    <s v="Yes"/>
    <x v="1"/>
    <n v="90.3"/>
    <n v="82.8"/>
    <x v="1"/>
  </r>
  <r>
    <n v="703"/>
    <s v="Male"/>
    <x v="28"/>
    <n v="80.5"/>
    <n v="4.5"/>
    <x v="1"/>
    <x v="0"/>
    <s v="Yes"/>
    <x v="1"/>
    <n v="72.900000000000006"/>
    <n v="65.400000000000006"/>
    <x v="2"/>
  </r>
  <r>
    <n v="704"/>
    <s v="Female"/>
    <x v="46"/>
    <n v="99.5"/>
    <n v="7"/>
    <x v="0"/>
    <x v="0"/>
    <s v="Yes"/>
    <x v="0"/>
    <n v="78.7"/>
    <n v="89.6"/>
    <x v="1"/>
  </r>
  <r>
    <n v="705"/>
    <s v="Male"/>
    <x v="38"/>
    <n v="88.3"/>
    <n v="4.5999999999999996"/>
    <x v="1"/>
    <x v="0"/>
    <s v="No"/>
    <x v="1"/>
    <n v="62.5"/>
    <n v="83.1"/>
    <x v="1"/>
  </r>
  <r>
    <n v="706"/>
    <s v="Male"/>
    <x v="38"/>
    <n v="88"/>
    <n v="7.7"/>
    <x v="4"/>
    <x v="0"/>
    <s v="No"/>
    <x v="1"/>
    <n v="85.4"/>
    <n v="94.2"/>
    <x v="0"/>
  </r>
  <r>
    <n v="707"/>
    <s v="Female"/>
    <x v="21"/>
    <n v="91.2"/>
    <n v="6.7"/>
    <x v="1"/>
    <x v="0"/>
    <s v="No"/>
    <x v="1"/>
    <n v="66.900000000000006"/>
    <n v="92.9"/>
    <x v="0"/>
  </r>
  <r>
    <n v="708"/>
    <s v="Female"/>
    <x v="16"/>
    <n v="73.599999999999994"/>
    <n v="7.3"/>
    <x v="1"/>
    <x v="0"/>
    <s v="No"/>
    <x v="0"/>
    <n v="73.3"/>
    <n v="77.099999999999994"/>
    <x v="3"/>
  </r>
  <r>
    <n v="709"/>
    <s v="Female"/>
    <x v="21"/>
    <n v="95.4"/>
    <n v="5.8"/>
    <x v="3"/>
    <x v="0"/>
    <s v="Yes"/>
    <x v="0"/>
    <n v="58.8"/>
    <n v="98.3"/>
    <x v="0"/>
  </r>
  <r>
    <n v="710"/>
    <s v="Female"/>
    <x v="38"/>
    <n v="84.2"/>
    <n v="8.3000000000000007"/>
    <x v="0"/>
    <x v="0"/>
    <s v="No"/>
    <x v="1"/>
    <n v="58"/>
    <n v="72.099999999999994"/>
    <x v="3"/>
  </r>
  <r>
    <n v="711"/>
    <s v="Male"/>
    <x v="16"/>
    <n v="91.7"/>
    <n v="8.1"/>
    <x v="0"/>
    <x v="0"/>
    <s v="Yes"/>
    <x v="0"/>
    <n v="78.3"/>
    <n v="94.6"/>
    <x v="0"/>
  </r>
  <r>
    <n v="712"/>
    <s v="Female"/>
    <x v="35"/>
    <n v="74.3"/>
    <n v="7.5"/>
    <x v="0"/>
    <x v="0"/>
    <s v="Yes"/>
    <x v="0"/>
    <n v="64.7"/>
    <n v="67.099999999999994"/>
    <x v="2"/>
  </r>
  <r>
    <n v="713"/>
    <s v="Male"/>
    <x v="2"/>
    <n v="69.5"/>
    <n v="6.6"/>
    <x v="4"/>
    <x v="1"/>
    <s v="No"/>
    <x v="1"/>
    <n v="59.8"/>
    <n v="72.2"/>
    <x v="3"/>
  </r>
  <r>
    <n v="714"/>
    <s v="Female"/>
    <x v="0"/>
    <n v="93.2"/>
    <n v="7.5"/>
    <x v="1"/>
    <x v="0"/>
    <s v="No"/>
    <x v="0"/>
    <n v="62.3"/>
    <n v="95.6"/>
    <x v="0"/>
  </r>
  <r>
    <n v="715"/>
    <s v="Female"/>
    <x v="29"/>
    <n v="88.8"/>
    <n v="6"/>
    <x v="4"/>
    <x v="0"/>
    <s v="Yes"/>
    <x v="0"/>
    <n v="78.400000000000006"/>
    <n v="91.9"/>
    <x v="0"/>
  </r>
  <r>
    <n v="716"/>
    <s v="Female"/>
    <x v="35"/>
    <n v="76"/>
    <n v="7.8"/>
    <x v="1"/>
    <x v="1"/>
    <s v="Yes"/>
    <x v="0"/>
    <n v="62.5"/>
    <n v="54.1"/>
    <x v="4"/>
  </r>
  <r>
    <n v="717"/>
    <s v="Male"/>
    <x v="26"/>
    <n v="76.3"/>
    <n v="8.8000000000000007"/>
    <x v="3"/>
    <x v="0"/>
    <s v="Yes"/>
    <x v="0"/>
    <n v="68.599999999999994"/>
    <n v="98.5"/>
    <x v="0"/>
  </r>
  <r>
    <n v="718"/>
    <s v="Female"/>
    <x v="12"/>
    <n v="96.3"/>
    <n v="8.1"/>
    <x v="3"/>
    <x v="0"/>
    <s v="Yes"/>
    <x v="1"/>
    <n v="70.2"/>
    <n v="85"/>
    <x v="1"/>
  </r>
  <r>
    <n v="719"/>
    <s v="Female"/>
    <x v="49"/>
    <n v="73.099999999999994"/>
    <n v="5.9"/>
    <x v="1"/>
    <x v="0"/>
    <s v="Yes"/>
    <x v="0"/>
    <n v="47"/>
    <n v="99.1"/>
    <x v="0"/>
  </r>
  <r>
    <n v="720"/>
    <s v="Female"/>
    <x v="18"/>
    <n v="100"/>
    <n v="7.2"/>
    <x v="0"/>
    <x v="0"/>
    <s v="Yes"/>
    <x v="1"/>
    <n v="52.3"/>
    <n v="78.2"/>
    <x v="3"/>
  </r>
  <r>
    <n v="721"/>
    <s v="Female"/>
    <x v="17"/>
    <n v="76"/>
    <n v="5.2"/>
    <x v="1"/>
    <x v="0"/>
    <s v="Yes"/>
    <x v="0"/>
    <n v="74"/>
    <n v="83.8"/>
    <x v="1"/>
  </r>
  <r>
    <n v="722"/>
    <s v="Male"/>
    <x v="18"/>
    <n v="91.4"/>
    <n v="7.5"/>
    <x v="3"/>
    <x v="0"/>
    <s v="No"/>
    <x v="0"/>
    <n v="61.2"/>
    <n v="70.7"/>
    <x v="3"/>
  </r>
  <r>
    <n v="723"/>
    <s v="Female"/>
    <x v="3"/>
    <n v="81.7"/>
    <n v="7.3"/>
    <x v="0"/>
    <x v="1"/>
    <s v="Yes"/>
    <x v="0"/>
    <n v="82.7"/>
    <n v="69.900000000000006"/>
    <x v="2"/>
  </r>
  <r>
    <n v="724"/>
    <s v="Male"/>
    <x v="43"/>
    <n v="91"/>
    <n v="4.5999999999999996"/>
    <x v="0"/>
    <x v="0"/>
    <s v="Yes"/>
    <x v="1"/>
    <n v="81.599999999999994"/>
    <n v="93.7"/>
    <x v="0"/>
  </r>
  <r>
    <n v="725"/>
    <s v="Male"/>
    <x v="46"/>
    <n v="79.599999999999994"/>
    <n v="5.4"/>
    <x v="1"/>
    <x v="0"/>
    <s v="Yes"/>
    <x v="0"/>
    <n v="78.599999999999994"/>
    <n v="84.9"/>
    <x v="1"/>
  </r>
  <r>
    <n v="726"/>
    <s v="Male"/>
    <x v="45"/>
    <n v="83.4"/>
    <n v="6.5"/>
    <x v="1"/>
    <x v="0"/>
    <s v="No"/>
    <x v="0"/>
    <n v="91.8"/>
    <n v="100"/>
    <x v="0"/>
  </r>
  <r>
    <n v="727"/>
    <s v="Male"/>
    <x v="50"/>
    <n v="85.4"/>
    <n v="6.4"/>
    <x v="1"/>
    <x v="0"/>
    <s v="Yes"/>
    <x v="0"/>
    <n v="69"/>
    <n v="97.5"/>
    <x v="0"/>
  </r>
  <r>
    <n v="728"/>
    <s v="Male"/>
    <x v="5"/>
    <n v="75"/>
    <n v="5.3"/>
    <x v="1"/>
    <x v="0"/>
    <s v="Yes"/>
    <x v="0"/>
    <n v="77.8"/>
    <n v="88"/>
    <x v="1"/>
  </r>
  <r>
    <n v="729"/>
    <s v="Male"/>
    <x v="19"/>
    <n v="92.4"/>
    <n v="7.3"/>
    <x v="0"/>
    <x v="0"/>
    <s v="Yes"/>
    <x v="0"/>
    <n v="63"/>
    <n v="85"/>
    <x v="1"/>
  </r>
  <r>
    <n v="730"/>
    <s v="Female"/>
    <x v="0"/>
    <n v="79.900000000000006"/>
    <n v="7.1"/>
    <x v="4"/>
    <x v="0"/>
    <s v="No"/>
    <x v="0"/>
    <n v="99.4"/>
    <n v="98.9"/>
    <x v="0"/>
  </r>
  <r>
    <n v="731"/>
    <s v="Male"/>
    <x v="67"/>
    <n v="82.7"/>
    <n v="6.6"/>
    <x v="3"/>
    <x v="0"/>
    <s v="No"/>
    <x v="0"/>
    <n v="93.8"/>
    <n v="100"/>
    <x v="0"/>
  </r>
  <r>
    <n v="732"/>
    <s v="Male"/>
    <x v="38"/>
    <n v="75.099999999999994"/>
    <n v="5.9"/>
    <x v="0"/>
    <x v="1"/>
    <s v="No"/>
    <x v="0"/>
    <n v="70.099999999999994"/>
    <n v="85"/>
    <x v="1"/>
  </r>
  <r>
    <n v="733"/>
    <s v="Male"/>
    <x v="45"/>
    <n v="59.4"/>
    <n v="8.1"/>
    <x v="2"/>
    <x v="1"/>
    <s v="No"/>
    <x v="0"/>
    <n v="74.599999999999994"/>
    <n v="74.3"/>
    <x v="3"/>
  </r>
  <r>
    <n v="734"/>
    <s v="Female"/>
    <x v="33"/>
    <n v="83.1"/>
    <n v="8.8000000000000007"/>
    <x v="3"/>
    <x v="0"/>
    <s v="No"/>
    <x v="0"/>
    <n v="86.3"/>
    <n v="99.6"/>
    <x v="0"/>
  </r>
  <r>
    <n v="735"/>
    <s v="Female"/>
    <x v="49"/>
    <n v="100"/>
    <n v="6.2"/>
    <x v="2"/>
    <x v="0"/>
    <s v="No"/>
    <x v="1"/>
    <n v="68.2"/>
    <n v="79.8"/>
    <x v="3"/>
  </r>
  <r>
    <n v="736"/>
    <s v="Male"/>
    <x v="8"/>
    <n v="92.8"/>
    <n v="6.1"/>
    <x v="0"/>
    <x v="0"/>
    <s v="Yes"/>
    <x v="0"/>
    <n v="62.1"/>
    <n v="91.3"/>
    <x v="0"/>
  </r>
  <r>
    <n v="737"/>
    <s v="Female"/>
    <x v="30"/>
    <n v="84.8"/>
    <n v="7.4"/>
    <x v="1"/>
    <x v="1"/>
    <s v="Yes"/>
    <x v="0"/>
    <n v="80.5"/>
    <n v="95"/>
    <x v="0"/>
  </r>
  <r>
    <n v="738"/>
    <s v="Male"/>
    <x v="22"/>
    <n v="82.4"/>
    <n v="6.4"/>
    <x v="1"/>
    <x v="0"/>
    <s v="No"/>
    <x v="1"/>
    <n v="70.900000000000006"/>
    <n v="66.599999999999994"/>
    <x v="2"/>
  </r>
  <r>
    <n v="739"/>
    <s v="Male"/>
    <x v="47"/>
    <n v="85.2"/>
    <n v="6.6"/>
    <x v="3"/>
    <x v="0"/>
    <s v="Yes"/>
    <x v="0"/>
    <n v="72.2"/>
    <n v="93.1"/>
    <x v="0"/>
  </r>
  <r>
    <n v="740"/>
    <s v="Female"/>
    <x v="22"/>
    <n v="90.5"/>
    <n v="7.7"/>
    <x v="1"/>
    <x v="0"/>
    <s v="Yes"/>
    <x v="0"/>
    <n v="60"/>
    <n v="81.8"/>
    <x v="1"/>
  </r>
  <r>
    <n v="741"/>
    <s v="Male"/>
    <x v="0"/>
    <n v="73.2"/>
    <n v="4.5"/>
    <x v="1"/>
    <x v="0"/>
    <s v="No"/>
    <x v="0"/>
    <n v="49.4"/>
    <n v="62.9"/>
    <x v="2"/>
  </r>
  <r>
    <n v="742"/>
    <s v="Female"/>
    <x v="24"/>
    <n v="96.1"/>
    <n v="8.4"/>
    <x v="0"/>
    <x v="0"/>
    <s v="Yes"/>
    <x v="0"/>
    <n v="72.8"/>
    <n v="94"/>
    <x v="0"/>
  </r>
  <r>
    <n v="743"/>
    <s v="Female"/>
    <x v="38"/>
    <n v="92.2"/>
    <n v="6.9"/>
    <x v="0"/>
    <x v="0"/>
    <s v="No"/>
    <x v="1"/>
    <n v="80.900000000000006"/>
    <n v="85"/>
    <x v="1"/>
  </r>
  <r>
    <n v="744"/>
    <s v="Male"/>
    <x v="0"/>
    <n v="92.2"/>
    <n v="6.3"/>
    <x v="0"/>
    <x v="0"/>
    <s v="No"/>
    <x v="1"/>
    <n v="67.3"/>
    <n v="82.4"/>
    <x v="1"/>
  </r>
  <r>
    <n v="745"/>
    <s v="Male"/>
    <x v="0"/>
    <n v="89.4"/>
    <n v="6.7"/>
    <x v="1"/>
    <x v="0"/>
    <s v="Yes"/>
    <x v="0"/>
    <n v="87.2"/>
    <n v="89.5"/>
    <x v="1"/>
  </r>
  <r>
    <n v="746"/>
    <s v="Female"/>
    <x v="39"/>
    <n v="85.2"/>
    <n v="6.8"/>
    <x v="0"/>
    <x v="0"/>
    <s v="No"/>
    <x v="1"/>
    <n v="61.6"/>
    <n v="83.3"/>
    <x v="1"/>
  </r>
  <r>
    <n v="747"/>
    <s v="Male"/>
    <x v="36"/>
    <n v="91.7"/>
    <n v="4.7"/>
    <x v="0"/>
    <x v="0"/>
    <s v="Yes"/>
    <x v="1"/>
    <n v="57.3"/>
    <n v="100"/>
    <x v="0"/>
  </r>
  <r>
    <n v="748"/>
    <s v="Male"/>
    <x v="5"/>
    <n v="90.9"/>
    <n v="8.6"/>
    <x v="2"/>
    <x v="1"/>
    <s v="Yes"/>
    <x v="0"/>
    <n v="69.2"/>
    <n v="92.4"/>
    <x v="0"/>
  </r>
  <r>
    <n v="749"/>
    <s v="Male"/>
    <x v="28"/>
    <n v="81.5"/>
    <n v="6.8"/>
    <x v="3"/>
    <x v="0"/>
    <s v="Yes"/>
    <x v="0"/>
    <n v="69"/>
    <n v="77"/>
    <x v="3"/>
  </r>
  <r>
    <n v="750"/>
    <s v="Female"/>
    <x v="2"/>
    <n v="79.3"/>
    <n v="7.3"/>
    <x v="2"/>
    <x v="1"/>
    <s v="No"/>
    <x v="0"/>
    <n v="79.2"/>
    <n v="95.1"/>
    <x v="0"/>
  </r>
  <r>
    <n v="751"/>
    <s v="Female"/>
    <x v="8"/>
    <n v="86"/>
    <n v="7.9"/>
    <x v="3"/>
    <x v="0"/>
    <s v="No"/>
    <x v="0"/>
    <n v="60.7"/>
    <n v="88.8"/>
    <x v="1"/>
  </r>
  <r>
    <n v="752"/>
    <s v="Male"/>
    <x v="34"/>
    <n v="100"/>
    <n v="5.6"/>
    <x v="0"/>
    <x v="0"/>
    <s v="Yes"/>
    <x v="1"/>
    <n v="86.4"/>
    <n v="93.2"/>
    <x v="0"/>
  </r>
  <r>
    <n v="753"/>
    <s v="Female"/>
    <x v="17"/>
    <n v="72.599999999999994"/>
    <n v="7.4"/>
    <x v="1"/>
    <x v="0"/>
    <s v="No"/>
    <x v="1"/>
    <n v="93.6"/>
    <n v="96.4"/>
    <x v="0"/>
  </r>
  <r>
    <n v="754"/>
    <s v="Female"/>
    <x v="21"/>
    <n v="70.3"/>
    <n v="6.5"/>
    <x v="3"/>
    <x v="0"/>
    <s v="Yes"/>
    <x v="0"/>
    <n v="69.5"/>
    <n v="67.2"/>
    <x v="2"/>
  </r>
  <r>
    <n v="755"/>
    <s v="Female"/>
    <x v="28"/>
    <n v="86.6"/>
    <n v="7.8"/>
    <x v="0"/>
    <x v="0"/>
    <s v="No"/>
    <x v="0"/>
    <n v="85"/>
    <n v="84.6"/>
    <x v="1"/>
  </r>
  <r>
    <n v="756"/>
    <s v="Female"/>
    <x v="31"/>
    <n v="85.5"/>
    <n v="4.2"/>
    <x v="0"/>
    <x v="0"/>
    <s v="Yes"/>
    <x v="1"/>
    <n v="57.3"/>
    <n v="89.8"/>
    <x v="1"/>
  </r>
  <r>
    <n v="757"/>
    <s v="Female"/>
    <x v="12"/>
    <n v="86.7"/>
    <n v="6.7"/>
    <x v="0"/>
    <x v="0"/>
    <s v="No"/>
    <x v="0"/>
    <n v="82.9"/>
    <n v="90.3"/>
    <x v="0"/>
  </r>
  <r>
    <n v="758"/>
    <s v="Male"/>
    <x v="19"/>
    <n v="87.4"/>
    <n v="6.1"/>
    <x v="0"/>
    <x v="0"/>
    <s v="Yes"/>
    <x v="1"/>
    <n v="82.6"/>
    <n v="82.5"/>
    <x v="1"/>
  </r>
  <r>
    <n v="759"/>
    <s v="Male"/>
    <x v="46"/>
    <n v="82.8"/>
    <n v="7.3"/>
    <x v="1"/>
    <x v="0"/>
    <s v="Yes"/>
    <x v="0"/>
    <n v="80.400000000000006"/>
    <n v="84.5"/>
    <x v="1"/>
  </r>
  <r>
    <n v="760"/>
    <s v="Male"/>
    <x v="15"/>
    <n v="99.9"/>
    <n v="7.4"/>
    <x v="0"/>
    <x v="1"/>
    <s v="Yes"/>
    <x v="1"/>
    <n v="69.8"/>
    <n v="72.099999999999994"/>
    <x v="3"/>
  </r>
  <r>
    <n v="761"/>
    <s v="Female"/>
    <x v="18"/>
    <n v="69"/>
    <n v="6"/>
    <x v="1"/>
    <x v="0"/>
    <s v="No"/>
    <x v="1"/>
    <n v="34.5"/>
    <n v="53.2"/>
    <x v="4"/>
  </r>
  <r>
    <n v="762"/>
    <s v="Female"/>
    <x v="59"/>
    <n v="76.7"/>
    <n v="5.9"/>
    <x v="3"/>
    <x v="1"/>
    <s v="Yes"/>
    <x v="1"/>
    <n v="62.3"/>
    <n v="74"/>
    <x v="3"/>
  </r>
  <r>
    <n v="763"/>
    <s v="Male"/>
    <x v="36"/>
    <n v="84"/>
    <n v="6.7"/>
    <x v="1"/>
    <x v="0"/>
    <s v="No"/>
    <x v="0"/>
    <n v="62.5"/>
    <n v="96.8"/>
    <x v="0"/>
  </r>
  <r>
    <n v="764"/>
    <s v="Female"/>
    <x v="4"/>
    <n v="68.599999999999994"/>
    <n v="5.7"/>
    <x v="1"/>
    <x v="0"/>
    <s v="Yes"/>
    <x v="0"/>
    <n v="58.3"/>
    <n v="81.2"/>
    <x v="1"/>
  </r>
  <r>
    <n v="765"/>
    <s v="Male"/>
    <x v="41"/>
    <n v="83.2"/>
    <n v="7.8"/>
    <x v="0"/>
    <x v="0"/>
    <s v="Yes"/>
    <x v="0"/>
    <n v="71.5"/>
    <n v="85.4"/>
    <x v="1"/>
  </r>
  <r>
    <n v="766"/>
    <s v="Male"/>
    <x v="35"/>
    <n v="100"/>
    <n v="6.4"/>
    <x v="3"/>
    <x v="0"/>
    <s v="Yes"/>
    <x v="0"/>
    <n v="65"/>
    <n v="81.099999999999994"/>
    <x v="1"/>
  </r>
  <r>
    <n v="767"/>
    <s v="Male"/>
    <x v="44"/>
    <n v="85.2"/>
    <n v="3.3"/>
    <x v="0"/>
    <x v="0"/>
    <s v="No"/>
    <x v="0"/>
    <n v="60.1"/>
    <n v="83.9"/>
    <x v="1"/>
  </r>
  <r>
    <n v="768"/>
    <s v="Female"/>
    <x v="6"/>
    <n v="87.3"/>
    <n v="6.4"/>
    <x v="1"/>
    <x v="0"/>
    <s v="Yes"/>
    <x v="1"/>
    <n v="57.3"/>
    <n v="71.2"/>
    <x v="3"/>
  </r>
  <r>
    <n v="769"/>
    <s v="Female"/>
    <x v="47"/>
    <n v="72.400000000000006"/>
    <n v="5.6"/>
    <x v="0"/>
    <x v="0"/>
    <s v="No"/>
    <x v="0"/>
    <n v="61.4"/>
    <n v="85.5"/>
    <x v="1"/>
  </r>
  <r>
    <n v="770"/>
    <s v="Male"/>
    <x v="29"/>
    <n v="78.8"/>
    <n v="4.8"/>
    <x v="1"/>
    <x v="0"/>
    <s v="No"/>
    <x v="0"/>
    <n v="83.5"/>
    <n v="98.4"/>
    <x v="0"/>
  </r>
  <r>
    <n v="771"/>
    <s v="Male"/>
    <x v="44"/>
    <n v="81.2"/>
    <n v="5.3"/>
    <x v="2"/>
    <x v="0"/>
    <s v="No"/>
    <x v="0"/>
    <n v="62.1"/>
    <n v="82.6"/>
    <x v="1"/>
  </r>
  <r>
    <n v="772"/>
    <s v="Male"/>
    <x v="60"/>
    <n v="81.8"/>
    <n v="6.9"/>
    <x v="2"/>
    <x v="0"/>
    <s v="Yes"/>
    <x v="1"/>
    <n v="63.8"/>
    <n v="91.6"/>
    <x v="0"/>
  </r>
  <r>
    <n v="773"/>
    <s v="Male"/>
    <x v="29"/>
    <n v="97.8"/>
    <n v="8.4"/>
    <x v="0"/>
    <x v="0"/>
    <s v="No"/>
    <x v="0"/>
    <n v="64.5"/>
    <n v="91.3"/>
    <x v="0"/>
  </r>
  <r>
    <n v="774"/>
    <s v="Female"/>
    <x v="56"/>
    <n v="90.6"/>
    <n v="7.2"/>
    <x v="1"/>
    <x v="0"/>
    <s v="No"/>
    <x v="1"/>
    <n v="74.099999999999994"/>
    <n v="84.3"/>
    <x v="1"/>
  </r>
  <r>
    <n v="775"/>
    <s v="Female"/>
    <x v="35"/>
    <n v="73.900000000000006"/>
    <n v="6.1"/>
    <x v="3"/>
    <x v="0"/>
    <s v="Yes"/>
    <x v="0"/>
    <n v="75.5"/>
    <n v="74.599999999999994"/>
    <x v="3"/>
  </r>
  <r>
    <n v="776"/>
    <s v="Male"/>
    <x v="60"/>
    <n v="87.5"/>
    <n v="7.3"/>
    <x v="1"/>
    <x v="0"/>
    <s v="No"/>
    <x v="1"/>
    <n v="33.5"/>
    <n v="88.6"/>
    <x v="1"/>
  </r>
  <r>
    <n v="777"/>
    <s v="Male"/>
    <x v="37"/>
    <n v="90"/>
    <n v="6.2"/>
    <x v="0"/>
    <x v="0"/>
    <s v="Yes"/>
    <x v="0"/>
    <n v="82.3"/>
    <n v="73.599999999999994"/>
    <x v="3"/>
  </r>
  <r>
    <n v="778"/>
    <s v="Female"/>
    <x v="53"/>
    <n v="96.4"/>
    <n v="6"/>
    <x v="1"/>
    <x v="0"/>
    <s v="Yes"/>
    <x v="0"/>
    <n v="87.2"/>
    <n v="95.8"/>
    <x v="0"/>
  </r>
  <r>
    <n v="779"/>
    <s v="Female"/>
    <x v="29"/>
    <n v="100"/>
    <n v="5.4"/>
    <x v="2"/>
    <x v="0"/>
    <s v="Yes"/>
    <x v="0"/>
    <n v="57.4"/>
    <n v="87.1"/>
    <x v="1"/>
  </r>
  <r>
    <n v="780"/>
    <s v="Male"/>
    <x v="62"/>
    <n v="74.8"/>
    <n v="4.7"/>
    <x v="1"/>
    <x v="0"/>
    <s v="Yes"/>
    <x v="0"/>
    <n v="58.3"/>
    <n v="89.9"/>
    <x v="1"/>
  </r>
  <r>
    <n v="781"/>
    <s v="Male"/>
    <x v="31"/>
    <n v="76.900000000000006"/>
    <n v="6.3"/>
    <x v="0"/>
    <x v="1"/>
    <s v="Yes"/>
    <x v="0"/>
    <n v="64.599999999999994"/>
    <n v="79.099999999999994"/>
    <x v="3"/>
  </r>
  <r>
    <n v="782"/>
    <s v="Male"/>
    <x v="20"/>
    <n v="72.400000000000006"/>
    <n v="7"/>
    <x v="3"/>
    <x v="0"/>
    <s v="Yes"/>
    <x v="0"/>
    <n v="60.9"/>
    <n v="97.6"/>
    <x v="0"/>
  </r>
  <r>
    <n v="783"/>
    <s v="Female"/>
    <x v="17"/>
    <n v="82.7"/>
    <n v="6.7"/>
    <x v="0"/>
    <x v="0"/>
    <s v="No"/>
    <x v="0"/>
    <n v="72.7"/>
    <n v="90.3"/>
    <x v="0"/>
  </r>
  <r>
    <n v="784"/>
    <s v="Female"/>
    <x v="50"/>
    <n v="89.7"/>
    <n v="6.3"/>
    <x v="1"/>
    <x v="0"/>
    <s v="Yes"/>
    <x v="0"/>
    <n v="46.6"/>
    <n v="78.099999999999994"/>
    <x v="3"/>
  </r>
  <r>
    <n v="785"/>
    <s v="Female"/>
    <x v="21"/>
    <n v="94.9"/>
    <n v="5.7"/>
    <x v="2"/>
    <x v="0"/>
    <s v="Yes"/>
    <x v="0"/>
    <n v="56.6"/>
    <n v="92.6"/>
    <x v="0"/>
  </r>
  <r>
    <n v="786"/>
    <s v="Male"/>
    <x v="52"/>
    <n v="84.2"/>
    <n v="7.5"/>
    <x v="0"/>
    <x v="0"/>
    <s v="Yes"/>
    <x v="1"/>
    <n v="88.5"/>
    <n v="97"/>
    <x v="0"/>
  </r>
  <r>
    <n v="787"/>
    <s v="Male"/>
    <x v="19"/>
    <n v="81.8"/>
    <n v="5.2"/>
    <x v="0"/>
    <x v="0"/>
    <s v="No"/>
    <x v="0"/>
    <n v="58.9"/>
    <n v="77"/>
    <x v="3"/>
  </r>
  <r>
    <n v="788"/>
    <s v="Female"/>
    <x v="38"/>
    <n v="86.5"/>
    <n v="7.7"/>
    <x v="1"/>
    <x v="0"/>
    <s v="No"/>
    <x v="0"/>
    <n v="84.9"/>
    <n v="96.8"/>
    <x v="0"/>
  </r>
  <r>
    <n v="789"/>
    <s v="Female"/>
    <x v="24"/>
    <n v="76.599999999999994"/>
    <n v="5.6"/>
    <x v="0"/>
    <x v="0"/>
    <s v="No"/>
    <x v="0"/>
    <n v="74.3"/>
    <n v="72.099999999999994"/>
    <x v="3"/>
  </r>
  <r>
    <n v="790"/>
    <s v="Male"/>
    <x v="28"/>
    <n v="100"/>
    <n v="5.9"/>
    <x v="0"/>
    <x v="0"/>
    <s v="No"/>
    <x v="0"/>
    <n v="48.3"/>
    <n v="75.400000000000006"/>
    <x v="3"/>
  </r>
  <r>
    <n v="791"/>
    <s v="Female"/>
    <x v="53"/>
    <n v="68.900000000000006"/>
    <n v="5"/>
    <x v="1"/>
    <x v="0"/>
    <s v="Yes"/>
    <x v="0"/>
    <n v="77.599999999999994"/>
    <n v="57.6"/>
    <x v="4"/>
  </r>
  <r>
    <n v="792"/>
    <s v="Female"/>
    <x v="38"/>
    <n v="86.8"/>
    <n v="6.2"/>
    <x v="1"/>
    <x v="1"/>
    <s v="No"/>
    <x v="1"/>
    <n v="68.599999999999994"/>
    <n v="67.599999999999994"/>
    <x v="2"/>
  </r>
  <r>
    <n v="793"/>
    <s v="Male"/>
    <x v="41"/>
    <n v="100"/>
    <n v="8"/>
    <x v="3"/>
    <x v="0"/>
    <s v="Yes"/>
    <x v="1"/>
    <n v="64.5"/>
    <n v="91.2"/>
    <x v="0"/>
  </r>
  <r>
    <n v="794"/>
    <s v="Female"/>
    <x v="22"/>
    <n v="85.1"/>
    <n v="7.4"/>
    <x v="1"/>
    <x v="0"/>
    <s v="Yes"/>
    <x v="1"/>
    <n v="72.900000000000006"/>
    <n v="86.8"/>
    <x v="1"/>
  </r>
  <r>
    <n v="795"/>
    <s v="Male"/>
    <x v="45"/>
    <n v="83.1"/>
    <n v="8"/>
    <x v="1"/>
    <x v="0"/>
    <s v="No"/>
    <x v="0"/>
    <n v="75.7"/>
    <n v="89.5"/>
    <x v="1"/>
  </r>
  <r>
    <n v="796"/>
    <s v="Male"/>
    <x v="31"/>
    <n v="81.400000000000006"/>
    <n v="7.4"/>
    <x v="0"/>
    <x v="0"/>
    <s v="Yes"/>
    <x v="0"/>
    <n v="78.5"/>
    <n v="100"/>
    <x v="0"/>
  </r>
  <r>
    <n v="797"/>
    <s v="Male"/>
    <x v="2"/>
    <n v="83.2"/>
    <n v="5.5"/>
    <x v="3"/>
    <x v="0"/>
    <s v="No"/>
    <x v="0"/>
    <n v="84.1"/>
    <n v="93.4"/>
    <x v="0"/>
  </r>
  <r>
    <n v="798"/>
    <s v="Male"/>
    <x v="14"/>
    <n v="98.7"/>
    <n v="6.4"/>
    <x v="1"/>
    <x v="0"/>
    <s v="No"/>
    <x v="0"/>
    <n v="74.900000000000006"/>
    <n v="78.7"/>
    <x v="3"/>
  </r>
  <r>
    <n v="799"/>
    <s v="Male"/>
    <x v="41"/>
    <n v="62.9"/>
    <n v="5.9"/>
    <x v="0"/>
    <x v="0"/>
    <s v="Yes"/>
    <x v="1"/>
    <n v="53.5"/>
    <n v="60.8"/>
    <x v="2"/>
  </r>
  <r>
    <n v="800"/>
    <s v="Male"/>
    <x v="2"/>
    <n v="100"/>
    <n v="8.4"/>
    <x v="1"/>
    <x v="0"/>
    <s v="Yes"/>
    <x v="0"/>
    <n v="64.3"/>
    <n v="96.1"/>
    <x v="0"/>
  </r>
  <r>
    <n v="801"/>
    <s v="Male"/>
    <x v="41"/>
    <n v="70.8"/>
    <n v="5.4"/>
    <x v="1"/>
    <x v="0"/>
    <s v="Yes"/>
    <x v="0"/>
    <n v="100"/>
    <n v="83"/>
    <x v="1"/>
  </r>
  <r>
    <n v="802"/>
    <s v="Female"/>
    <x v="46"/>
    <n v="82.3"/>
    <n v="7.9"/>
    <x v="1"/>
    <x v="0"/>
    <s v="No"/>
    <x v="0"/>
    <n v="78.7"/>
    <n v="94"/>
    <x v="0"/>
  </r>
  <r>
    <n v="803"/>
    <s v="Male"/>
    <x v="20"/>
    <n v="80.7"/>
    <n v="7.9"/>
    <x v="3"/>
    <x v="0"/>
    <s v="No"/>
    <x v="0"/>
    <n v="98.4"/>
    <n v="100"/>
    <x v="0"/>
  </r>
  <r>
    <n v="804"/>
    <s v="Male"/>
    <x v="41"/>
    <n v="90.9"/>
    <n v="9"/>
    <x v="1"/>
    <x v="0"/>
    <s v="Yes"/>
    <x v="0"/>
    <n v="86.7"/>
    <n v="94.6"/>
    <x v="0"/>
  </r>
  <r>
    <n v="805"/>
    <s v="Female"/>
    <x v="19"/>
    <n v="69"/>
    <n v="6.3"/>
    <x v="1"/>
    <x v="0"/>
    <s v="Yes"/>
    <x v="0"/>
    <n v="72.900000000000006"/>
    <n v="87.7"/>
    <x v="1"/>
  </r>
  <r>
    <n v="806"/>
    <s v="Female"/>
    <x v="6"/>
    <n v="89.6"/>
    <n v="7.7"/>
    <x v="0"/>
    <x v="0"/>
    <s v="No"/>
    <x v="0"/>
    <n v="73.599999999999994"/>
    <n v="82.1"/>
    <x v="1"/>
  </r>
  <r>
    <n v="807"/>
    <s v="Female"/>
    <x v="3"/>
    <n v="100"/>
    <n v="9.5"/>
    <x v="3"/>
    <x v="0"/>
    <s v="No"/>
    <x v="1"/>
    <n v="69.599999999999994"/>
    <n v="80.099999999999994"/>
    <x v="1"/>
  </r>
  <r>
    <n v="808"/>
    <s v="Male"/>
    <x v="0"/>
    <n v="71.400000000000006"/>
    <n v="6.1"/>
    <x v="1"/>
    <x v="1"/>
    <s v="Yes"/>
    <x v="1"/>
    <n v="49.1"/>
    <n v="57.8"/>
    <x v="4"/>
  </r>
  <r>
    <n v="809"/>
    <s v="Female"/>
    <x v="14"/>
    <n v="86.9"/>
    <n v="5"/>
    <x v="0"/>
    <x v="0"/>
    <s v="Yes"/>
    <x v="0"/>
    <n v="70.2"/>
    <n v="74.3"/>
    <x v="3"/>
  </r>
  <r>
    <n v="810"/>
    <s v="Male"/>
    <x v="5"/>
    <n v="78.400000000000006"/>
    <n v="4.5"/>
    <x v="1"/>
    <x v="1"/>
    <s v="No"/>
    <x v="0"/>
    <n v="84.5"/>
    <n v="82.5"/>
    <x v="1"/>
  </r>
  <r>
    <n v="811"/>
    <s v="Male"/>
    <x v="15"/>
    <n v="89.3"/>
    <n v="7.7"/>
    <x v="0"/>
    <x v="0"/>
    <s v="Yes"/>
    <x v="0"/>
    <n v="62.8"/>
    <n v="85.9"/>
    <x v="1"/>
  </r>
  <r>
    <n v="812"/>
    <s v="Male"/>
    <x v="20"/>
    <n v="85.2"/>
    <n v="4.5"/>
    <x v="0"/>
    <x v="0"/>
    <s v="Yes"/>
    <x v="0"/>
    <n v="74.900000000000006"/>
    <n v="88.4"/>
    <x v="1"/>
  </r>
  <r>
    <n v="813"/>
    <s v="Male"/>
    <x v="45"/>
    <n v="78.599999999999994"/>
    <n v="6.4"/>
    <x v="0"/>
    <x v="0"/>
    <s v="No"/>
    <x v="0"/>
    <n v="80.2"/>
    <n v="100"/>
    <x v="0"/>
  </r>
  <r>
    <n v="814"/>
    <s v="Female"/>
    <x v="11"/>
    <n v="89.9"/>
    <n v="7.3"/>
    <x v="1"/>
    <x v="1"/>
    <s v="No"/>
    <x v="1"/>
    <n v="59.1"/>
    <n v="75.599999999999994"/>
    <x v="3"/>
  </r>
  <r>
    <n v="815"/>
    <s v="Female"/>
    <x v="19"/>
    <n v="100"/>
    <n v="7"/>
    <x v="1"/>
    <x v="0"/>
    <s v="Yes"/>
    <x v="0"/>
    <n v="64.599999999999994"/>
    <n v="78"/>
    <x v="3"/>
  </r>
  <r>
    <n v="816"/>
    <s v="Male"/>
    <x v="55"/>
    <n v="83.1"/>
    <n v="7.3"/>
    <x v="1"/>
    <x v="0"/>
    <s v="Yes"/>
    <x v="0"/>
    <n v="57.8"/>
    <n v="80"/>
    <x v="1"/>
  </r>
  <r>
    <n v="817"/>
    <s v="Male"/>
    <x v="19"/>
    <n v="92.2"/>
    <n v="7.1"/>
    <x v="0"/>
    <x v="0"/>
    <s v="Yes"/>
    <x v="1"/>
    <n v="60.1"/>
    <n v="80.2"/>
    <x v="1"/>
  </r>
  <r>
    <n v="818"/>
    <s v="Male"/>
    <x v="20"/>
    <n v="72.099999999999994"/>
    <n v="8.3000000000000007"/>
    <x v="1"/>
    <x v="0"/>
    <s v="Yes"/>
    <x v="0"/>
    <n v="54.5"/>
    <n v="82.2"/>
    <x v="1"/>
  </r>
  <r>
    <n v="819"/>
    <s v="Female"/>
    <x v="16"/>
    <n v="75.400000000000006"/>
    <n v="5.7"/>
    <x v="3"/>
    <x v="0"/>
    <s v="No"/>
    <x v="0"/>
    <n v="59.2"/>
    <n v="79.599999999999994"/>
    <x v="3"/>
  </r>
  <r>
    <n v="820"/>
    <s v="Male"/>
    <x v="16"/>
    <n v="89.7"/>
    <n v="6"/>
    <x v="2"/>
    <x v="1"/>
    <s v="Yes"/>
    <x v="0"/>
    <n v="87"/>
    <n v="96.3"/>
    <x v="0"/>
  </r>
  <r>
    <n v="821"/>
    <s v="Male"/>
    <x v="24"/>
    <n v="99.8"/>
    <n v="5.9"/>
    <x v="2"/>
    <x v="1"/>
    <s v="No"/>
    <x v="0"/>
    <n v="59"/>
    <n v="65.400000000000006"/>
    <x v="2"/>
  </r>
  <r>
    <n v="822"/>
    <s v="Female"/>
    <x v="44"/>
    <n v="88.6"/>
    <n v="7.8"/>
    <x v="4"/>
    <x v="0"/>
    <s v="No"/>
    <x v="0"/>
    <n v="71.5"/>
    <n v="79.900000000000006"/>
    <x v="3"/>
  </r>
  <r>
    <n v="823"/>
    <s v="Female"/>
    <x v="37"/>
    <n v="81.900000000000006"/>
    <n v="7.9"/>
    <x v="0"/>
    <x v="1"/>
    <s v="Yes"/>
    <x v="0"/>
    <n v="64"/>
    <n v="71.599999999999994"/>
    <x v="3"/>
  </r>
  <r>
    <n v="824"/>
    <s v="Male"/>
    <x v="27"/>
    <n v="85"/>
    <n v="7.3"/>
    <x v="3"/>
    <x v="0"/>
    <s v="Yes"/>
    <x v="0"/>
    <n v="84.1"/>
    <n v="100"/>
    <x v="0"/>
  </r>
  <r>
    <n v="825"/>
    <s v="Female"/>
    <x v="61"/>
    <n v="72.5"/>
    <n v="8.1999999999999993"/>
    <x v="1"/>
    <x v="0"/>
    <s v="Yes"/>
    <x v="0"/>
    <n v="85.7"/>
    <n v="93.9"/>
    <x v="0"/>
  </r>
  <r>
    <n v="826"/>
    <s v="Female"/>
    <x v="44"/>
    <n v="91"/>
    <n v="5.4"/>
    <x v="0"/>
    <x v="0"/>
    <s v="No"/>
    <x v="1"/>
    <n v="80.400000000000006"/>
    <n v="87.5"/>
    <x v="1"/>
  </r>
  <r>
    <n v="827"/>
    <s v="Male"/>
    <x v="24"/>
    <n v="93.8"/>
    <n v="8.8000000000000007"/>
    <x v="0"/>
    <x v="0"/>
    <s v="No"/>
    <x v="0"/>
    <n v="73.7"/>
    <n v="86.3"/>
    <x v="1"/>
  </r>
  <r>
    <n v="828"/>
    <s v="Female"/>
    <x v="50"/>
    <n v="80.5"/>
    <n v="8.6"/>
    <x v="0"/>
    <x v="1"/>
    <s v="Yes"/>
    <x v="1"/>
    <n v="67.2"/>
    <n v="77.599999999999994"/>
    <x v="3"/>
  </r>
  <r>
    <n v="829"/>
    <s v="Male"/>
    <x v="28"/>
    <n v="80.3"/>
    <n v="7.7"/>
    <x v="3"/>
    <x v="0"/>
    <s v="No"/>
    <x v="1"/>
    <n v="55.7"/>
    <n v="70.2"/>
    <x v="3"/>
  </r>
  <r>
    <n v="830"/>
    <s v="Female"/>
    <x v="13"/>
    <n v="87.7"/>
    <n v="8.9"/>
    <x v="1"/>
    <x v="0"/>
    <s v="No"/>
    <x v="0"/>
    <n v="93.3"/>
    <n v="100"/>
    <x v="0"/>
  </r>
  <r>
    <n v="831"/>
    <s v="Male"/>
    <x v="44"/>
    <n v="80.599999999999994"/>
    <n v="4.8"/>
    <x v="1"/>
    <x v="0"/>
    <s v="No"/>
    <x v="1"/>
    <n v="60.9"/>
    <n v="73.5"/>
    <x v="3"/>
  </r>
  <r>
    <n v="832"/>
    <s v="Male"/>
    <x v="52"/>
    <n v="84.3"/>
    <n v="6.2"/>
    <x v="2"/>
    <x v="0"/>
    <s v="Yes"/>
    <x v="0"/>
    <n v="78"/>
    <n v="91.2"/>
    <x v="0"/>
  </r>
  <r>
    <n v="833"/>
    <s v="Male"/>
    <x v="4"/>
    <n v="100"/>
    <n v="5.9"/>
    <x v="1"/>
    <x v="0"/>
    <s v="Yes"/>
    <x v="1"/>
    <n v="82.7"/>
    <n v="78.099999999999994"/>
    <x v="3"/>
  </r>
  <r>
    <n v="834"/>
    <s v="Female"/>
    <x v="66"/>
    <n v="82.5"/>
    <n v="7.7"/>
    <x v="0"/>
    <x v="1"/>
    <s v="No"/>
    <x v="0"/>
    <n v="63.3"/>
    <n v="89"/>
    <x v="1"/>
  </r>
  <r>
    <n v="835"/>
    <s v="Male"/>
    <x v="34"/>
    <n v="81.400000000000006"/>
    <n v="5.5"/>
    <x v="2"/>
    <x v="0"/>
    <s v="Yes"/>
    <x v="1"/>
    <n v="82.5"/>
    <n v="82"/>
    <x v="1"/>
  </r>
  <r>
    <n v="836"/>
    <s v="Female"/>
    <x v="0"/>
    <n v="78.5"/>
    <n v="7.7"/>
    <x v="0"/>
    <x v="0"/>
    <s v="Yes"/>
    <x v="1"/>
    <n v="79.2"/>
    <n v="89.5"/>
    <x v="1"/>
  </r>
  <r>
    <n v="837"/>
    <s v="Male"/>
    <x v="30"/>
    <n v="92.4"/>
    <n v="8.4"/>
    <x v="0"/>
    <x v="0"/>
    <s v="Yes"/>
    <x v="1"/>
    <n v="90.7"/>
    <n v="100"/>
    <x v="0"/>
  </r>
  <r>
    <n v="838"/>
    <s v="Male"/>
    <x v="39"/>
    <n v="83.2"/>
    <n v="7.6"/>
    <x v="1"/>
    <x v="0"/>
    <s v="Yes"/>
    <x v="0"/>
    <n v="64.400000000000006"/>
    <n v="88.7"/>
    <x v="1"/>
  </r>
  <r>
    <n v="839"/>
    <s v="Female"/>
    <x v="46"/>
    <n v="78.5"/>
    <n v="7.1"/>
    <x v="1"/>
    <x v="0"/>
    <s v="Yes"/>
    <x v="0"/>
    <n v="54.6"/>
    <n v="86"/>
    <x v="1"/>
  </r>
  <r>
    <n v="840"/>
    <s v="Male"/>
    <x v="12"/>
    <n v="98.2"/>
    <n v="5.6"/>
    <x v="4"/>
    <x v="0"/>
    <s v="No"/>
    <x v="1"/>
    <n v="63.9"/>
    <n v="82.9"/>
    <x v="1"/>
  </r>
  <r>
    <n v="841"/>
    <s v="Male"/>
    <x v="16"/>
    <n v="99.2"/>
    <n v="5.8"/>
    <x v="0"/>
    <x v="0"/>
    <s v="Yes"/>
    <x v="0"/>
    <n v="72.5"/>
    <n v="88.6"/>
    <x v="1"/>
  </r>
  <r>
    <n v="842"/>
    <s v="Female"/>
    <x v="12"/>
    <n v="79"/>
    <n v="8.3000000000000007"/>
    <x v="0"/>
    <x v="0"/>
    <s v="Yes"/>
    <x v="0"/>
    <n v="70.7"/>
    <n v="79.2"/>
    <x v="3"/>
  </r>
  <r>
    <n v="843"/>
    <s v="Male"/>
    <x v="2"/>
    <n v="66.3"/>
    <n v="7.7"/>
    <x v="1"/>
    <x v="0"/>
    <s v="No"/>
    <x v="0"/>
    <n v="65.3"/>
    <n v="85.1"/>
    <x v="1"/>
  </r>
  <r>
    <n v="844"/>
    <s v="Male"/>
    <x v="68"/>
    <n v="95.1"/>
    <n v="6.8"/>
    <x v="1"/>
    <x v="0"/>
    <s v="Yes"/>
    <x v="0"/>
    <n v="47.1"/>
    <n v="80.2"/>
    <x v="1"/>
  </r>
  <r>
    <n v="845"/>
    <s v="Male"/>
    <x v="40"/>
    <n v="78.2"/>
    <n v="6.3"/>
    <x v="2"/>
    <x v="0"/>
    <s v="Yes"/>
    <x v="0"/>
    <n v="75.599999999999994"/>
    <n v="80.2"/>
    <x v="1"/>
  </r>
  <r>
    <n v="846"/>
    <s v="Male"/>
    <x v="37"/>
    <n v="92.9"/>
    <n v="4.4000000000000004"/>
    <x v="0"/>
    <x v="0"/>
    <s v="No"/>
    <x v="1"/>
    <n v="93.7"/>
    <n v="80.3"/>
    <x v="1"/>
  </r>
  <r>
    <n v="847"/>
    <s v="Female"/>
    <x v="38"/>
    <n v="65.3"/>
    <n v="5.5"/>
    <x v="0"/>
    <x v="0"/>
    <s v="No"/>
    <x v="0"/>
    <n v="75.599999999999994"/>
    <n v="69.8"/>
    <x v="2"/>
  </r>
  <r>
    <n v="848"/>
    <s v="Female"/>
    <x v="63"/>
    <n v="93.9"/>
    <n v="9.1"/>
    <x v="1"/>
    <x v="1"/>
    <s v="No"/>
    <x v="0"/>
    <n v="77.3"/>
    <n v="100"/>
    <x v="0"/>
  </r>
  <r>
    <n v="849"/>
    <s v="Male"/>
    <x v="42"/>
    <n v="72.900000000000006"/>
    <n v="5.3"/>
    <x v="3"/>
    <x v="0"/>
    <s v="No"/>
    <x v="0"/>
    <n v="76.900000000000006"/>
    <n v="80.8"/>
    <x v="1"/>
  </r>
  <r>
    <n v="850"/>
    <s v="Female"/>
    <x v="47"/>
    <n v="92.3"/>
    <n v="7"/>
    <x v="2"/>
    <x v="0"/>
    <s v="Yes"/>
    <x v="1"/>
    <n v="74.8"/>
    <n v="100"/>
    <x v="0"/>
  </r>
  <r>
    <n v="851"/>
    <s v="Male"/>
    <x v="47"/>
    <n v="85.1"/>
    <n v="8"/>
    <x v="0"/>
    <x v="0"/>
    <s v="No"/>
    <x v="1"/>
    <n v="81.2"/>
    <n v="99.5"/>
    <x v="0"/>
  </r>
  <r>
    <n v="852"/>
    <s v="Female"/>
    <x v="40"/>
    <n v="75.5"/>
    <n v="5.3"/>
    <x v="1"/>
    <x v="0"/>
    <s v="Yes"/>
    <x v="0"/>
    <n v="74.7"/>
    <n v="80.7"/>
    <x v="1"/>
  </r>
  <r>
    <n v="853"/>
    <s v="Male"/>
    <x v="17"/>
    <n v="80.900000000000006"/>
    <n v="7"/>
    <x v="0"/>
    <x v="0"/>
    <s v="No"/>
    <x v="0"/>
    <n v="66.2"/>
    <n v="86.6"/>
    <x v="1"/>
  </r>
  <r>
    <n v="854"/>
    <s v="Male"/>
    <x v="36"/>
    <n v="91.9"/>
    <n v="7.9"/>
    <x v="3"/>
    <x v="1"/>
    <s v="Yes"/>
    <x v="0"/>
    <n v="60.4"/>
    <n v="98.8"/>
    <x v="0"/>
  </r>
  <r>
    <n v="855"/>
    <s v="Male"/>
    <x v="55"/>
    <n v="86.1"/>
    <n v="6.8"/>
    <x v="0"/>
    <x v="0"/>
    <s v="No"/>
    <x v="0"/>
    <n v="67"/>
    <n v="81.900000000000006"/>
    <x v="1"/>
  </r>
  <r>
    <n v="856"/>
    <s v="Male"/>
    <x v="46"/>
    <n v="90.8"/>
    <n v="10"/>
    <x v="4"/>
    <x v="0"/>
    <s v="No"/>
    <x v="1"/>
    <n v="73.8"/>
    <n v="79"/>
    <x v="3"/>
  </r>
  <r>
    <n v="857"/>
    <s v="Male"/>
    <x v="3"/>
    <n v="100"/>
    <n v="4.8"/>
    <x v="0"/>
    <x v="0"/>
    <s v="No"/>
    <x v="0"/>
    <n v="66.2"/>
    <n v="91.7"/>
    <x v="0"/>
  </r>
  <r>
    <n v="858"/>
    <s v="Male"/>
    <x v="41"/>
    <n v="69.400000000000006"/>
    <n v="8.1"/>
    <x v="4"/>
    <x v="0"/>
    <s v="Yes"/>
    <x v="0"/>
    <n v="73.8"/>
    <n v="78.8"/>
    <x v="3"/>
  </r>
  <r>
    <n v="859"/>
    <s v="Female"/>
    <x v="44"/>
    <n v="100"/>
    <n v="6.6"/>
    <x v="0"/>
    <x v="0"/>
    <s v="Yes"/>
    <x v="0"/>
    <n v="75.3"/>
    <n v="84.8"/>
    <x v="1"/>
  </r>
  <r>
    <n v="860"/>
    <s v="Male"/>
    <x v="34"/>
    <n v="86"/>
    <n v="7.7"/>
    <x v="1"/>
    <x v="1"/>
    <s v="No"/>
    <x v="1"/>
    <n v="80"/>
    <n v="66.5"/>
    <x v="2"/>
  </r>
  <r>
    <n v="861"/>
    <s v="Female"/>
    <x v="16"/>
    <n v="76"/>
    <n v="7.3"/>
    <x v="1"/>
    <x v="0"/>
    <s v="No"/>
    <x v="0"/>
    <n v="85.4"/>
    <n v="91.1"/>
    <x v="0"/>
  </r>
  <r>
    <n v="862"/>
    <s v="Male"/>
    <x v="42"/>
    <n v="71.7"/>
    <n v="5.9"/>
    <x v="1"/>
    <x v="0"/>
    <s v="Yes"/>
    <x v="0"/>
    <n v="70.900000000000006"/>
    <n v="74.2"/>
    <x v="3"/>
  </r>
  <r>
    <n v="863"/>
    <s v="Female"/>
    <x v="52"/>
    <n v="83.1"/>
    <n v="7.1"/>
    <x v="2"/>
    <x v="0"/>
    <s v="No"/>
    <x v="1"/>
    <n v="54.3"/>
    <n v="86.3"/>
    <x v="1"/>
  </r>
  <r>
    <n v="864"/>
    <s v="Female"/>
    <x v="23"/>
    <n v="94.2"/>
    <n v="4.5999999999999996"/>
    <x v="3"/>
    <x v="0"/>
    <s v="No"/>
    <x v="0"/>
    <n v="65.900000000000006"/>
    <n v="71.2"/>
    <x v="3"/>
  </r>
  <r>
    <n v="865"/>
    <s v="Female"/>
    <x v="0"/>
    <n v="83.7"/>
    <n v="7.5"/>
    <x v="3"/>
    <x v="0"/>
    <s v="Yes"/>
    <x v="0"/>
    <n v="70.5"/>
    <n v="83.5"/>
    <x v="1"/>
  </r>
  <r>
    <n v="866"/>
    <s v="Male"/>
    <x v="50"/>
    <n v="100"/>
    <n v="7.2"/>
    <x v="1"/>
    <x v="0"/>
    <s v="No"/>
    <x v="1"/>
    <n v="48"/>
    <n v="89.8"/>
    <x v="1"/>
  </r>
  <r>
    <n v="867"/>
    <s v="Male"/>
    <x v="35"/>
    <n v="70.5"/>
    <n v="7.6"/>
    <x v="1"/>
    <x v="0"/>
    <s v="Yes"/>
    <x v="0"/>
    <n v="86.7"/>
    <n v="80.3"/>
    <x v="1"/>
  </r>
  <r>
    <n v="868"/>
    <s v="Female"/>
    <x v="39"/>
    <n v="84.9"/>
    <n v="8.1"/>
    <x v="3"/>
    <x v="0"/>
    <s v="Yes"/>
    <x v="0"/>
    <n v="71.7"/>
    <n v="91.6"/>
    <x v="0"/>
  </r>
  <r>
    <n v="869"/>
    <s v="Male"/>
    <x v="8"/>
    <n v="72.5"/>
    <n v="7.2"/>
    <x v="0"/>
    <x v="0"/>
    <s v="Yes"/>
    <x v="0"/>
    <n v="74.599999999999994"/>
    <n v="95.8"/>
    <x v="0"/>
  </r>
  <r>
    <n v="870"/>
    <s v="Female"/>
    <x v="34"/>
    <n v="88.6"/>
    <n v="7"/>
    <x v="1"/>
    <x v="0"/>
    <s v="No"/>
    <x v="0"/>
    <n v="86.4"/>
    <n v="84.4"/>
    <x v="1"/>
  </r>
  <r>
    <n v="871"/>
    <s v="Male"/>
    <x v="47"/>
    <n v="93.9"/>
    <n v="5.7"/>
    <x v="0"/>
    <x v="0"/>
    <s v="No"/>
    <x v="0"/>
    <n v="62.4"/>
    <n v="96.1"/>
    <x v="0"/>
  </r>
  <r>
    <n v="872"/>
    <s v="Female"/>
    <x v="39"/>
    <n v="80.8"/>
    <n v="5.9"/>
    <x v="1"/>
    <x v="0"/>
    <s v="Yes"/>
    <x v="1"/>
    <n v="76.900000000000006"/>
    <n v="92.6"/>
    <x v="0"/>
  </r>
  <r>
    <n v="873"/>
    <s v="Female"/>
    <x v="24"/>
    <n v="59"/>
    <n v="8.1999999999999993"/>
    <x v="1"/>
    <x v="0"/>
    <s v="No"/>
    <x v="0"/>
    <n v="68.7"/>
    <n v="75.5"/>
    <x v="3"/>
  </r>
  <r>
    <n v="874"/>
    <s v="Male"/>
    <x v="38"/>
    <n v="87"/>
    <n v="8.5"/>
    <x v="0"/>
    <x v="0"/>
    <s v="No"/>
    <x v="0"/>
    <n v="67.8"/>
    <n v="85.1"/>
    <x v="1"/>
  </r>
  <r>
    <n v="875"/>
    <s v="Female"/>
    <x v="20"/>
    <n v="89.4"/>
    <n v="6.5"/>
    <x v="1"/>
    <x v="0"/>
    <s v="No"/>
    <x v="0"/>
    <n v="60.7"/>
    <n v="93.8"/>
    <x v="0"/>
  </r>
  <r>
    <n v="876"/>
    <s v="Male"/>
    <x v="16"/>
    <n v="89"/>
    <n v="6.9"/>
    <x v="2"/>
    <x v="0"/>
    <s v="Yes"/>
    <x v="0"/>
    <n v="90"/>
    <n v="81.400000000000006"/>
    <x v="1"/>
  </r>
  <r>
    <n v="877"/>
    <s v="Female"/>
    <x v="20"/>
    <n v="97.4"/>
    <n v="5.7"/>
    <x v="1"/>
    <x v="0"/>
    <s v="No"/>
    <x v="1"/>
    <n v="65.5"/>
    <n v="98.8"/>
    <x v="0"/>
  </r>
  <r>
    <n v="878"/>
    <s v="Female"/>
    <x v="32"/>
    <n v="74.3"/>
    <n v="8.1999999999999993"/>
    <x v="1"/>
    <x v="1"/>
    <s v="Yes"/>
    <x v="0"/>
    <n v="78.400000000000006"/>
    <n v="65.400000000000006"/>
    <x v="2"/>
  </r>
  <r>
    <n v="879"/>
    <s v="Male"/>
    <x v="45"/>
    <n v="91.8"/>
    <n v="7.6"/>
    <x v="1"/>
    <x v="0"/>
    <s v="Yes"/>
    <x v="0"/>
    <n v="47.5"/>
    <n v="77.599999999999994"/>
    <x v="3"/>
  </r>
  <r>
    <n v="880"/>
    <s v="Male"/>
    <x v="37"/>
    <n v="96.9"/>
    <n v="9.1"/>
    <x v="3"/>
    <x v="0"/>
    <s v="Yes"/>
    <x v="1"/>
    <n v="84.2"/>
    <n v="85.6"/>
    <x v="1"/>
  </r>
  <r>
    <n v="881"/>
    <s v="Male"/>
    <x v="12"/>
    <n v="67.2"/>
    <n v="5.7"/>
    <x v="0"/>
    <x v="0"/>
    <s v="Yes"/>
    <x v="0"/>
    <n v="82.6"/>
    <n v="81.400000000000006"/>
    <x v="1"/>
  </r>
  <r>
    <n v="882"/>
    <s v="Female"/>
    <x v="32"/>
    <n v="88.2"/>
    <n v="6.3"/>
    <x v="0"/>
    <x v="0"/>
    <s v="No"/>
    <x v="0"/>
    <n v="71.2"/>
    <n v="85.4"/>
    <x v="1"/>
  </r>
  <r>
    <n v="883"/>
    <s v="Male"/>
    <x v="24"/>
    <n v="80"/>
    <n v="7.1"/>
    <x v="1"/>
    <x v="0"/>
    <s v="Yes"/>
    <x v="0"/>
    <n v="67.3"/>
    <n v="71.900000000000006"/>
    <x v="3"/>
  </r>
  <r>
    <n v="884"/>
    <s v="Female"/>
    <x v="13"/>
    <n v="84.2"/>
    <n v="7.6"/>
    <x v="1"/>
    <x v="0"/>
    <s v="No"/>
    <x v="1"/>
    <n v="74.8"/>
    <n v="94.4"/>
    <x v="0"/>
  </r>
  <r>
    <n v="885"/>
    <s v="Female"/>
    <x v="33"/>
    <n v="88.5"/>
    <n v="6.5"/>
    <x v="0"/>
    <x v="0"/>
    <s v="Yes"/>
    <x v="0"/>
    <n v="97.5"/>
    <n v="100"/>
    <x v="0"/>
  </r>
  <r>
    <n v="886"/>
    <s v="Male"/>
    <x v="17"/>
    <n v="80.099999999999994"/>
    <n v="5.8"/>
    <x v="3"/>
    <x v="0"/>
    <s v="Yes"/>
    <x v="1"/>
    <n v="48.8"/>
    <n v="77.099999999999994"/>
    <x v="3"/>
  </r>
  <r>
    <n v="887"/>
    <s v="Male"/>
    <x v="18"/>
    <n v="78.2"/>
    <n v="7.9"/>
    <x v="4"/>
    <x v="0"/>
    <s v="No"/>
    <x v="1"/>
    <n v="79.400000000000006"/>
    <n v="76.8"/>
    <x v="3"/>
  </r>
  <r>
    <n v="888"/>
    <s v="Female"/>
    <x v="56"/>
    <n v="85.3"/>
    <n v="7.7"/>
    <x v="1"/>
    <x v="0"/>
    <s v="No"/>
    <x v="0"/>
    <n v="59.1"/>
    <n v="79.8"/>
    <x v="3"/>
  </r>
  <r>
    <n v="889"/>
    <s v="Female"/>
    <x v="8"/>
    <n v="74.099999999999994"/>
    <n v="5.7"/>
    <x v="0"/>
    <x v="0"/>
    <s v="Yes"/>
    <x v="1"/>
    <n v="69.8"/>
    <n v="82.2"/>
    <x v="1"/>
  </r>
  <r>
    <n v="890"/>
    <s v="Male"/>
    <x v="19"/>
    <n v="74.099999999999994"/>
    <n v="8.4"/>
    <x v="2"/>
    <x v="0"/>
    <s v="Yes"/>
    <x v="1"/>
    <n v="67"/>
    <n v="77.400000000000006"/>
    <x v="3"/>
  </r>
  <r>
    <n v="891"/>
    <s v="Male"/>
    <x v="69"/>
    <n v="91.8"/>
    <n v="8.1999999999999993"/>
    <x v="0"/>
    <x v="0"/>
    <s v="Yes"/>
    <x v="1"/>
    <n v="64.900000000000006"/>
    <n v="100"/>
    <x v="0"/>
  </r>
  <r>
    <n v="892"/>
    <s v="Male"/>
    <x v="39"/>
    <n v="73.5"/>
    <n v="7"/>
    <x v="3"/>
    <x v="0"/>
    <s v="Yes"/>
    <x v="1"/>
    <n v="69.900000000000006"/>
    <n v="87.2"/>
    <x v="1"/>
  </r>
  <r>
    <n v="893"/>
    <s v="Male"/>
    <x v="45"/>
    <n v="91.7"/>
    <n v="6.9"/>
    <x v="1"/>
    <x v="0"/>
    <s v="No"/>
    <x v="1"/>
    <n v="56.4"/>
    <n v="76.400000000000006"/>
    <x v="3"/>
  </r>
  <r>
    <n v="894"/>
    <s v="Male"/>
    <x v="56"/>
    <n v="89.6"/>
    <n v="7.5"/>
    <x v="2"/>
    <x v="1"/>
    <s v="No"/>
    <x v="0"/>
    <n v="82.4"/>
    <n v="79.599999999999994"/>
    <x v="3"/>
  </r>
  <r>
    <n v="895"/>
    <s v="Female"/>
    <x v="19"/>
    <n v="67.7"/>
    <n v="5.8"/>
    <x v="3"/>
    <x v="0"/>
    <s v="Yes"/>
    <x v="1"/>
    <n v="48.5"/>
    <n v="71.400000000000006"/>
    <x v="3"/>
  </r>
  <r>
    <n v="896"/>
    <s v="Female"/>
    <x v="12"/>
    <n v="78.2"/>
    <n v="6.8"/>
    <x v="2"/>
    <x v="0"/>
    <s v="No"/>
    <x v="1"/>
    <n v="76.5"/>
    <n v="80.8"/>
    <x v="1"/>
  </r>
  <r>
    <n v="897"/>
    <s v="Female"/>
    <x v="21"/>
    <n v="96.9"/>
    <n v="4.2"/>
    <x v="3"/>
    <x v="0"/>
    <s v="No"/>
    <x v="1"/>
    <n v="66.099999999999994"/>
    <n v="91.1"/>
    <x v="0"/>
  </r>
  <r>
    <n v="898"/>
    <s v="Female"/>
    <x v="2"/>
    <n v="75.2"/>
    <n v="7.9"/>
    <x v="0"/>
    <x v="0"/>
    <s v="Yes"/>
    <x v="0"/>
    <n v="55.9"/>
    <n v="78.8"/>
    <x v="3"/>
  </r>
  <r>
    <n v="899"/>
    <s v="Male"/>
    <x v="42"/>
    <n v="80.400000000000006"/>
    <n v="4.9000000000000004"/>
    <x v="2"/>
    <x v="0"/>
    <s v="Yes"/>
    <x v="0"/>
    <n v="72.400000000000006"/>
    <n v="66.7"/>
    <x v="2"/>
  </r>
  <r>
    <n v="900"/>
    <s v="Male"/>
    <x v="6"/>
    <n v="89.6"/>
    <n v="8.6"/>
    <x v="1"/>
    <x v="0"/>
    <s v="No"/>
    <x v="0"/>
    <n v="51.3"/>
    <n v="68.8"/>
    <x v="2"/>
  </r>
  <r>
    <n v="901"/>
    <s v="Male"/>
    <x v="57"/>
    <n v="92.8"/>
    <n v="6.4"/>
    <x v="1"/>
    <x v="0"/>
    <s v="No"/>
    <x v="0"/>
    <n v="70.5"/>
    <n v="69.900000000000006"/>
    <x v="2"/>
  </r>
  <r>
    <n v="902"/>
    <s v="Female"/>
    <x v="20"/>
    <n v="82.5"/>
    <n v="6.5"/>
    <x v="3"/>
    <x v="0"/>
    <s v="Yes"/>
    <x v="0"/>
    <n v="52.9"/>
    <n v="80.7"/>
    <x v="1"/>
  </r>
  <r>
    <n v="903"/>
    <s v="Female"/>
    <x v="22"/>
    <n v="79"/>
    <n v="6"/>
    <x v="3"/>
    <x v="0"/>
    <s v="Yes"/>
    <x v="0"/>
    <n v="75.5"/>
    <n v="73.3"/>
    <x v="3"/>
  </r>
  <r>
    <n v="904"/>
    <s v="Male"/>
    <x v="35"/>
    <n v="99.2"/>
    <n v="6.5"/>
    <x v="2"/>
    <x v="1"/>
    <s v="Yes"/>
    <x v="1"/>
    <n v="58.9"/>
    <n v="68.8"/>
    <x v="2"/>
  </r>
  <r>
    <n v="905"/>
    <s v="Male"/>
    <x v="39"/>
    <n v="100"/>
    <n v="8.5"/>
    <x v="1"/>
    <x v="0"/>
    <s v="No"/>
    <x v="0"/>
    <n v="64.599999999999994"/>
    <n v="90.8"/>
    <x v="0"/>
  </r>
  <r>
    <n v="906"/>
    <s v="Female"/>
    <x v="62"/>
    <n v="94.8"/>
    <n v="3.8"/>
    <x v="3"/>
    <x v="0"/>
    <s v="Yes"/>
    <x v="0"/>
    <n v="73.5"/>
    <n v="100"/>
    <x v="0"/>
  </r>
  <r>
    <n v="907"/>
    <s v="Female"/>
    <x v="15"/>
    <n v="85.9"/>
    <n v="8.3000000000000007"/>
    <x v="3"/>
    <x v="0"/>
    <s v="Yes"/>
    <x v="0"/>
    <n v="60.7"/>
    <n v="85"/>
    <x v="1"/>
  </r>
  <r>
    <n v="908"/>
    <s v="Male"/>
    <x v="50"/>
    <n v="76.900000000000006"/>
    <n v="7.2"/>
    <x v="1"/>
    <x v="0"/>
    <s v="No"/>
    <x v="1"/>
    <n v="69.3"/>
    <n v="86"/>
    <x v="1"/>
  </r>
  <r>
    <n v="909"/>
    <s v="Male"/>
    <x v="16"/>
    <n v="76.7"/>
    <n v="5.4"/>
    <x v="0"/>
    <x v="0"/>
    <s v="No"/>
    <x v="0"/>
    <n v="51.8"/>
    <n v="73.099999999999994"/>
    <x v="3"/>
  </r>
  <r>
    <n v="910"/>
    <s v="Female"/>
    <x v="38"/>
    <n v="90.2"/>
    <n v="5.5"/>
    <x v="1"/>
    <x v="0"/>
    <s v="No"/>
    <x v="1"/>
    <n v="77.599999999999994"/>
    <n v="87.6"/>
    <x v="1"/>
  </r>
  <r>
    <n v="911"/>
    <s v="Male"/>
    <x v="2"/>
    <n v="89.2"/>
    <n v="8.8000000000000007"/>
    <x v="1"/>
    <x v="0"/>
    <s v="Yes"/>
    <x v="1"/>
    <n v="91.2"/>
    <n v="96.5"/>
    <x v="0"/>
  </r>
  <r>
    <n v="912"/>
    <s v="Male"/>
    <x v="28"/>
    <n v="99"/>
    <n v="5.7"/>
    <x v="2"/>
    <x v="0"/>
    <s v="Yes"/>
    <x v="0"/>
    <n v="100"/>
    <n v="100"/>
    <x v="0"/>
  </r>
  <r>
    <n v="913"/>
    <s v="Male"/>
    <x v="52"/>
    <n v="91.5"/>
    <n v="5.4"/>
    <x v="0"/>
    <x v="1"/>
    <s v="Yes"/>
    <x v="0"/>
    <n v="71.099999999999994"/>
    <n v="82.1"/>
    <x v="1"/>
  </r>
  <r>
    <n v="914"/>
    <s v="Female"/>
    <x v="0"/>
    <n v="70"/>
    <n v="8.1999999999999993"/>
    <x v="3"/>
    <x v="0"/>
    <s v="Yes"/>
    <x v="0"/>
    <n v="79.5"/>
    <n v="80.3"/>
    <x v="1"/>
  </r>
  <r>
    <n v="915"/>
    <s v="Female"/>
    <x v="44"/>
    <n v="95.5"/>
    <n v="7.2"/>
    <x v="2"/>
    <x v="0"/>
    <s v="No"/>
    <x v="0"/>
    <n v="48.6"/>
    <n v="76.900000000000006"/>
    <x v="3"/>
  </r>
  <r>
    <n v="916"/>
    <s v="Female"/>
    <x v="29"/>
    <n v="75"/>
    <n v="5.7"/>
    <x v="0"/>
    <x v="1"/>
    <s v="Yes"/>
    <x v="1"/>
    <n v="88"/>
    <n v="81.7"/>
    <x v="1"/>
  </r>
  <r>
    <n v="917"/>
    <s v="Female"/>
    <x v="46"/>
    <n v="81.2"/>
    <n v="7.1"/>
    <x v="3"/>
    <x v="0"/>
    <s v="Yes"/>
    <x v="1"/>
    <n v="79.3"/>
    <n v="88.1"/>
    <x v="1"/>
  </r>
  <r>
    <n v="918"/>
    <s v="Female"/>
    <x v="24"/>
    <n v="87.5"/>
    <n v="5.6"/>
    <x v="0"/>
    <x v="0"/>
    <s v="Yes"/>
    <x v="1"/>
    <n v="64.2"/>
    <n v="88.1"/>
    <x v="1"/>
  </r>
  <r>
    <n v="919"/>
    <s v="Female"/>
    <x v="20"/>
    <n v="100"/>
    <n v="8.1"/>
    <x v="4"/>
    <x v="0"/>
    <s v="Yes"/>
    <x v="0"/>
    <n v="84.8"/>
    <n v="97.3"/>
    <x v="0"/>
  </r>
  <r>
    <n v="920"/>
    <s v="Female"/>
    <x v="4"/>
    <n v="100"/>
    <n v="8.1"/>
    <x v="1"/>
    <x v="0"/>
    <s v="No"/>
    <x v="1"/>
    <n v="66.900000000000006"/>
    <n v="83.4"/>
    <x v="1"/>
  </r>
  <r>
    <n v="921"/>
    <s v="Male"/>
    <x v="15"/>
    <n v="91.1"/>
    <n v="7.4"/>
    <x v="2"/>
    <x v="0"/>
    <s v="Yes"/>
    <x v="1"/>
    <n v="64.5"/>
    <n v="72.8"/>
    <x v="3"/>
  </r>
  <r>
    <n v="922"/>
    <s v="Male"/>
    <x v="15"/>
    <n v="83.2"/>
    <n v="7.2"/>
    <x v="1"/>
    <x v="0"/>
    <s v="Yes"/>
    <x v="0"/>
    <n v="75.7"/>
    <n v="90.5"/>
    <x v="0"/>
  </r>
  <r>
    <n v="923"/>
    <s v="Male"/>
    <x v="33"/>
    <n v="90.3"/>
    <n v="8.9"/>
    <x v="1"/>
    <x v="0"/>
    <s v="Yes"/>
    <x v="1"/>
    <n v="57.2"/>
    <n v="83.8"/>
    <x v="1"/>
  </r>
  <r>
    <n v="924"/>
    <s v="Male"/>
    <x v="5"/>
    <n v="93.9"/>
    <n v="6.8"/>
    <x v="3"/>
    <x v="0"/>
    <s v="Yes"/>
    <x v="0"/>
    <n v="82.3"/>
    <n v="93.1"/>
    <x v="0"/>
  </r>
  <r>
    <n v="925"/>
    <s v="Male"/>
    <x v="15"/>
    <n v="81.8"/>
    <n v="5.4"/>
    <x v="0"/>
    <x v="0"/>
    <s v="Yes"/>
    <x v="0"/>
    <n v="57.3"/>
    <n v="71.2"/>
    <x v="3"/>
  </r>
  <r>
    <n v="926"/>
    <s v="Male"/>
    <x v="58"/>
    <n v="100"/>
    <n v="7.3"/>
    <x v="0"/>
    <x v="0"/>
    <s v="No"/>
    <x v="0"/>
    <n v="57.4"/>
    <n v="95.3"/>
    <x v="0"/>
  </r>
  <r>
    <n v="927"/>
    <s v="Male"/>
    <x v="31"/>
    <n v="87.3"/>
    <n v="9.3000000000000007"/>
    <x v="0"/>
    <x v="0"/>
    <s v="No"/>
    <x v="0"/>
    <n v="59.1"/>
    <n v="99.6"/>
    <x v="0"/>
  </r>
  <r>
    <n v="928"/>
    <s v="Female"/>
    <x v="20"/>
    <n v="90"/>
    <n v="5.6"/>
    <x v="3"/>
    <x v="0"/>
    <s v="No"/>
    <x v="0"/>
    <n v="79.099999999999994"/>
    <n v="92.4"/>
    <x v="0"/>
  </r>
  <r>
    <n v="929"/>
    <s v="Female"/>
    <x v="15"/>
    <n v="91.7"/>
    <n v="6.4"/>
    <x v="1"/>
    <x v="0"/>
    <s v="No"/>
    <x v="1"/>
    <n v="62.6"/>
    <n v="75.400000000000006"/>
    <x v="3"/>
  </r>
  <r>
    <n v="930"/>
    <s v="Male"/>
    <x v="6"/>
    <n v="89.2"/>
    <n v="7.3"/>
    <x v="1"/>
    <x v="0"/>
    <s v="No"/>
    <x v="0"/>
    <n v="53.8"/>
    <n v="80.8"/>
    <x v="1"/>
  </r>
  <r>
    <n v="931"/>
    <s v="Male"/>
    <x v="18"/>
    <n v="93.4"/>
    <n v="6.7"/>
    <x v="1"/>
    <x v="0"/>
    <s v="No"/>
    <x v="0"/>
    <n v="62.7"/>
    <n v="72.900000000000006"/>
    <x v="3"/>
  </r>
  <r>
    <n v="932"/>
    <s v="Female"/>
    <x v="56"/>
    <n v="78.8"/>
    <n v="5.6"/>
    <x v="0"/>
    <x v="0"/>
    <s v="Yes"/>
    <x v="1"/>
    <n v="69.599999999999994"/>
    <n v="63.7"/>
    <x v="2"/>
  </r>
  <r>
    <n v="933"/>
    <s v="Male"/>
    <x v="3"/>
    <n v="79.400000000000006"/>
    <n v="8.1"/>
    <x v="1"/>
    <x v="0"/>
    <s v="Yes"/>
    <x v="1"/>
    <n v="55.8"/>
    <n v="75.3"/>
    <x v="3"/>
  </r>
  <r>
    <n v="934"/>
    <s v="Male"/>
    <x v="46"/>
    <n v="74"/>
    <n v="9.6"/>
    <x v="0"/>
    <x v="0"/>
    <s v="Yes"/>
    <x v="0"/>
    <n v="56.2"/>
    <n v="71.7"/>
    <x v="3"/>
  </r>
  <r>
    <n v="935"/>
    <s v="Female"/>
    <x v="16"/>
    <n v="89.4"/>
    <n v="7"/>
    <x v="0"/>
    <x v="0"/>
    <s v="No"/>
    <x v="0"/>
    <n v="95.3"/>
    <n v="100"/>
    <x v="0"/>
  </r>
  <r>
    <n v="936"/>
    <s v="Male"/>
    <x v="20"/>
    <n v="92.8"/>
    <n v="5.7"/>
    <x v="1"/>
    <x v="0"/>
    <s v="No"/>
    <x v="0"/>
    <n v="59.7"/>
    <n v="83.3"/>
    <x v="1"/>
  </r>
  <r>
    <n v="937"/>
    <s v="Female"/>
    <x v="38"/>
    <n v="89.6"/>
    <n v="4.9000000000000004"/>
    <x v="0"/>
    <x v="0"/>
    <s v="No"/>
    <x v="0"/>
    <n v="66.099999999999994"/>
    <n v="85.6"/>
    <x v="1"/>
  </r>
  <r>
    <n v="938"/>
    <s v="Male"/>
    <x v="5"/>
    <n v="100"/>
    <n v="7.1"/>
    <x v="4"/>
    <x v="1"/>
    <s v="Yes"/>
    <x v="1"/>
    <n v="65.599999999999994"/>
    <n v="93.1"/>
    <x v="0"/>
  </r>
  <r>
    <n v="939"/>
    <s v="Female"/>
    <x v="16"/>
    <n v="84.9"/>
    <n v="8.1"/>
    <x v="1"/>
    <x v="0"/>
    <s v="No"/>
    <x v="0"/>
    <n v="64.900000000000006"/>
    <n v="77.3"/>
    <x v="3"/>
  </r>
  <r>
    <n v="940"/>
    <s v="Female"/>
    <x v="35"/>
    <n v="91.7"/>
    <n v="7.4"/>
    <x v="0"/>
    <x v="0"/>
    <s v="Yes"/>
    <x v="0"/>
    <n v="77.5"/>
    <n v="74.8"/>
    <x v="3"/>
  </r>
  <r>
    <n v="941"/>
    <s v="Female"/>
    <x v="32"/>
    <n v="74.099999999999994"/>
    <n v="6.8"/>
    <x v="3"/>
    <x v="0"/>
    <s v="Yes"/>
    <x v="1"/>
    <n v="81.400000000000006"/>
    <n v="76.7"/>
    <x v="3"/>
  </r>
  <r>
    <n v="942"/>
    <s v="Male"/>
    <x v="12"/>
    <n v="81.099999999999994"/>
    <n v="6.1"/>
    <x v="0"/>
    <x v="1"/>
    <s v="Yes"/>
    <x v="0"/>
    <n v="66.3"/>
    <n v="85.3"/>
    <x v="1"/>
  </r>
  <r>
    <n v="943"/>
    <s v="Female"/>
    <x v="34"/>
    <n v="92"/>
    <n v="5.5"/>
    <x v="3"/>
    <x v="0"/>
    <s v="Yes"/>
    <x v="0"/>
    <n v="55.2"/>
    <n v="68.599999999999994"/>
    <x v="2"/>
  </r>
  <r>
    <n v="944"/>
    <s v="Male"/>
    <x v="17"/>
    <n v="93.5"/>
    <n v="7.8"/>
    <x v="0"/>
    <x v="0"/>
    <s v="Yes"/>
    <x v="0"/>
    <n v="85.3"/>
    <n v="96.4"/>
    <x v="0"/>
  </r>
  <r>
    <n v="945"/>
    <s v="Male"/>
    <x v="25"/>
    <n v="82.1"/>
    <n v="7.9"/>
    <x v="0"/>
    <x v="0"/>
    <s v="Yes"/>
    <x v="1"/>
    <n v="68.900000000000006"/>
    <n v="95.7"/>
    <x v="0"/>
  </r>
  <r>
    <n v="946"/>
    <s v="Male"/>
    <x v="8"/>
    <n v="84.3"/>
    <n v="4.9000000000000004"/>
    <x v="1"/>
    <x v="0"/>
    <s v="Yes"/>
    <x v="0"/>
    <n v="90.8"/>
    <n v="96.1"/>
    <x v="0"/>
  </r>
  <r>
    <n v="947"/>
    <s v="Male"/>
    <x v="46"/>
    <n v="69.8"/>
    <n v="8.6999999999999993"/>
    <x v="3"/>
    <x v="0"/>
    <s v="No"/>
    <x v="0"/>
    <n v="43.1"/>
    <n v="70.400000000000006"/>
    <x v="3"/>
  </r>
  <r>
    <n v="948"/>
    <s v="Female"/>
    <x v="51"/>
    <n v="81.400000000000006"/>
    <n v="7.5"/>
    <x v="3"/>
    <x v="0"/>
    <s v="No"/>
    <x v="0"/>
    <n v="72.3"/>
    <n v="85.8"/>
    <x v="1"/>
  </r>
  <r>
    <n v="949"/>
    <s v="Female"/>
    <x v="19"/>
    <n v="93.9"/>
    <n v="8.5"/>
    <x v="1"/>
    <x v="1"/>
    <s v="No"/>
    <x v="0"/>
    <n v="93"/>
    <n v="100"/>
    <x v="0"/>
  </r>
  <r>
    <n v="950"/>
    <s v="Male"/>
    <x v="56"/>
    <n v="90.8"/>
    <n v="5.2"/>
    <x v="0"/>
    <x v="1"/>
    <s v="Yes"/>
    <x v="1"/>
    <n v="65.8"/>
    <n v="65.8"/>
    <x v="2"/>
  </r>
  <r>
    <n v="951"/>
    <s v="Male"/>
    <x v="3"/>
    <n v="90"/>
    <n v="5.2"/>
    <x v="2"/>
    <x v="1"/>
    <s v="No"/>
    <x v="0"/>
    <n v="67.3"/>
    <n v="72.400000000000006"/>
    <x v="3"/>
  </r>
  <r>
    <n v="952"/>
    <s v="Female"/>
    <x v="56"/>
    <n v="85.5"/>
    <n v="6.6"/>
    <x v="0"/>
    <x v="0"/>
    <s v="No"/>
    <x v="0"/>
    <n v="73.5"/>
    <n v="83.6"/>
    <x v="1"/>
  </r>
  <r>
    <n v="953"/>
    <s v="Male"/>
    <x v="55"/>
    <n v="85.1"/>
    <n v="7.4"/>
    <x v="0"/>
    <x v="0"/>
    <s v="Yes"/>
    <x v="1"/>
    <n v="63.3"/>
    <n v="89.5"/>
    <x v="1"/>
  </r>
  <r>
    <n v="954"/>
    <s v="Female"/>
    <x v="45"/>
    <n v="78.400000000000006"/>
    <n v="9"/>
    <x v="2"/>
    <x v="0"/>
    <s v="Yes"/>
    <x v="0"/>
    <n v="66.3"/>
    <n v="77.900000000000006"/>
    <x v="3"/>
  </r>
  <r>
    <n v="955"/>
    <s v="Male"/>
    <x v="19"/>
    <n v="92"/>
    <n v="7.6"/>
    <x v="3"/>
    <x v="0"/>
    <s v="Yes"/>
    <x v="0"/>
    <n v="65.900000000000006"/>
    <n v="100"/>
    <x v="0"/>
  </r>
  <r>
    <n v="956"/>
    <s v="Male"/>
    <x v="15"/>
    <n v="89.2"/>
    <n v="6.5"/>
    <x v="0"/>
    <x v="0"/>
    <s v="Yes"/>
    <x v="0"/>
    <n v="62.5"/>
    <n v="88.3"/>
    <x v="1"/>
  </r>
  <r>
    <n v="957"/>
    <s v="Female"/>
    <x v="5"/>
    <n v="89.9"/>
    <n v="5.6"/>
    <x v="3"/>
    <x v="0"/>
    <s v="No"/>
    <x v="1"/>
    <n v="84.7"/>
    <n v="93.5"/>
    <x v="0"/>
  </r>
  <r>
    <n v="958"/>
    <s v="Male"/>
    <x v="8"/>
    <n v="79.7"/>
    <n v="8.3000000000000007"/>
    <x v="4"/>
    <x v="0"/>
    <s v="No"/>
    <x v="0"/>
    <n v="75.5"/>
    <n v="89"/>
    <x v="1"/>
  </r>
  <r>
    <n v="959"/>
    <s v="Female"/>
    <x v="2"/>
    <n v="63.5"/>
    <n v="5.6"/>
    <x v="0"/>
    <x v="0"/>
    <s v="Yes"/>
    <x v="0"/>
    <n v="73"/>
    <n v="87.6"/>
    <x v="1"/>
  </r>
  <r>
    <n v="960"/>
    <s v="Male"/>
    <x v="59"/>
    <n v="96"/>
    <n v="8.8000000000000007"/>
    <x v="0"/>
    <x v="0"/>
    <s v="No"/>
    <x v="0"/>
    <n v="79.7"/>
    <n v="80.5"/>
    <x v="1"/>
  </r>
  <r>
    <n v="961"/>
    <s v="Male"/>
    <x v="35"/>
    <n v="80.2"/>
    <n v="6.5"/>
    <x v="0"/>
    <x v="0"/>
    <s v="No"/>
    <x v="0"/>
    <n v="66.8"/>
    <n v="75.400000000000006"/>
    <x v="3"/>
  </r>
  <r>
    <n v="962"/>
    <s v="Male"/>
    <x v="2"/>
    <n v="76.400000000000006"/>
    <n v="8.6999999999999993"/>
    <x v="2"/>
    <x v="0"/>
    <s v="No"/>
    <x v="0"/>
    <n v="60.7"/>
    <n v="80.7"/>
    <x v="1"/>
  </r>
  <r>
    <n v="963"/>
    <s v="Female"/>
    <x v="37"/>
    <n v="91.9"/>
    <n v="7.6"/>
    <x v="3"/>
    <x v="0"/>
    <s v="Yes"/>
    <x v="1"/>
    <n v="62.8"/>
    <n v="73"/>
    <x v="3"/>
  </r>
  <r>
    <n v="964"/>
    <s v="Male"/>
    <x v="46"/>
    <n v="81.099999999999994"/>
    <n v="6.6"/>
    <x v="1"/>
    <x v="0"/>
    <s v="No"/>
    <x v="0"/>
    <n v="70"/>
    <n v="78.400000000000006"/>
    <x v="3"/>
  </r>
  <r>
    <n v="965"/>
    <s v="Male"/>
    <x v="34"/>
    <n v="95.6"/>
    <n v="6.2"/>
    <x v="4"/>
    <x v="0"/>
    <s v="Yes"/>
    <x v="0"/>
    <n v="57.3"/>
    <n v="69.5"/>
    <x v="2"/>
  </r>
  <r>
    <n v="966"/>
    <s v="Male"/>
    <x v="54"/>
    <n v="91.2"/>
    <n v="6.4"/>
    <x v="0"/>
    <x v="0"/>
    <s v="No"/>
    <x v="0"/>
    <n v="64"/>
    <n v="76.2"/>
    <x v="3"/>
  </r>
  <r>
    <n v="967"/>
    <s v="Male"/>
    <x v="20"/>
    <n v="91.8"/>
    <n v="7.3"/>
    <x v="1"/>
    <x v="0"/>
    <s v="Yes"/>
    <x v="1"/>
    <n v="63.8"/>
    <n v="90"/>
    <x v="0"/>
  </r>
  <r>
    <n v="968"/>
    <s v="Female"/>
    <x v="21"/>
    <n v="71.3"/>
    <n v="6.9"/>
    <x v="0"/>
    <x v="0"/>
    <s v="Yes"/>
    <x v="0"/>
    <n v="95.5"/>
    <n v="100"/>
    <x v="0"/>
  </r>
  <r>
    <n v="969"/>
    <s v="Female"/>
    <x v="3"/>
    <n v="97.1"/>
    <n v="6.1"/>
    <x v="0"/>
    <x v="0"/>
    <s v="No"/>
    <x v="0"/>
    <n v="36.700000000000003"/>
    <n v="60"/>
    <x v="2"/>
  </r>
  <r>
    <n v="970"/>
    <s v="Male"/>
    <x v="35"/>
    <n v="87.6"/>
    <n v="6.6"/>
    <x v="4"/>
    <x v="0"/>
    <s v="Yes"/>
    <x v="0"/>
    <n v="67.8"/>
    <n v="78.3"/>
    <x v="3"/>
  </r>
  <r>
    <n v="971"/>
    <s v="Female"/>
    <x v="40"/>
    <n v="81.3"/>
    <n v="6.9"/>
    <x v="1"/>
    <x v="0"/>
    <s v="Yes"/>
    <x v="1"/>
    <n v="90.7"/>
    <n v="100"/>
    <x v="0"/>
  </r>
  <r>
    <n v="972"/>
    <s v="Male"/>
    <x v="39"/>
    <n v="86.4"/>
    <n v="4.2"/>
    <x v="3"/>
    <x v="1"/>
    <s v="Yes"/>
    <x v="1"/>
    <n v="71.5"/>
    <n v="75.599999999999994"/>
    <x v="3"/>
  </r>
  <r>
    <n v="973"/>
    <s v="Male"/>
    <x v="59"/>
    <n v="67.2"/>
    <n v="7.3"/>
    <x v="0"/>
    <x v="0"/>
    <s v="No"/>
    <x v="0"/>
    <n v="79"/>
    <n v="84.1"/>
    <x v="1"/>
  </r>
  <r>
    <n v="974"/>
    <s v="Male"/>
    <x v="45"/>
    <n v="89.1"/>
    <n v="5.6"/>
    <x v="1"/>
    <x v="1"/>
    <s v="Yes"/>
    <x v="1"/>
    <n v="71.2"/>
    <n v="77.900000000000006"/>
    <x v="3"/>
  </r>
  <r>
    <n v="975"/>
    <s v="Female"/>
    <x v="15"/>
    <n v="74.7"/>
    <n v="5.4"/>
    <x v="2"/>
    <x v="0"/>
    <s v="No"/>
    <x v="0"/>
    <n v="62"/>
    <n v="67.900000000000006"/>
    <x v="2"/>
  </r>
  <r>
    <n v="976"/>
    <s v="Female"/>
    <x v="17"/>
    <n v="71.5"/>
    <n v="4.8"/>
    <x v="0"/>
    <x v="0"/>
    <s v="Yes"/>
    <x v="1"/>
    <n v="43.1"/>
    <n v="67"/>
    <x v="2"/>
  </r>
  <r>
    <n v="977"/>
    <s v="Female"/>
    <x v="19"/>
    <n v="69.8"/>
    <n v="4.5999999999999996"/>
    <x v="1"/>
    <x v="1"/>
    <s v="Yes"/>
    <x v="0"/>
    <n v="72.5"/>
    <n v="80.900000000000006"/>
    <x v="1"/>
  </r>
  <r>
    <n v="978"/>
    <s v="Female"/>
    <x v="41"/>
    <n v="96.1"/>
    <n v="5.2"/>
    <x v="0"/>
    <x v="0"/>
    <s v="Yes"/>
    <x v="0"/>
    <n v="60.7"/>
    <n v="72.099999999999994"/>
    <x v="3"/>
  </r>
  <r>
    <n v="979"/>
    <s v="Female"/>
    <x v="8"/>
    <n v="78.7"/>
    <n v="5.9"/>
    <x v="4"/>
    <x v="0"/>
    <s v="Yes"/>
    <x v="0"/>
    <n v="60.4"/>
    <n v="83"/>
    <x v="1"/>
  </r>
  <r>
    <n v="980"/>
    <s v="Female"/>
    <x v="12"/>
    <n v="100"/>
    <n v="9.1"/>
    <x v="1"/>
    <x v="0"/>
    <s v="Yes"/>
    <x v="0"/>
    <n v="64"/>
    <n v="93.9"/>
    <x v="0"/>
  </r>
  <r>
    <n v="981"/>
    <s v="Female"/>
    <x v="15"/>
    <n v="79.599999999999994"/>
    <n v="6.2"/>
    <x v="1"/>
    <x v="0"/>
    <s v="Yes"/>
    <x v="0"/>
    <n v="90.9"/>
    <n v="91.4"/>
    <x v="0"/>
  </r>
  <r>
    <n v="982"/>
    <s v="Female"/>
    <x v="32"/>
    <n v="67.900000000000006"/>
    <n v="7"/>
    <x v="1"/>
    <x v="1"/>
    <s v="No"/>
    <x v="1"/>
    <n v="98.9"/>
    <n v="79.7"/>
    <x v="3"/>
  </r>
  <r>
    <n v="983"/>
    <s v="Female"/>
    <x v="9"/>
    <n v="73.8"/>
    <n v="7.3"/>
    <x v="1"/>
    <x v="0"/>
    <s v="No"/>
    <x v="1"/>
    <n v="72.599999999999994"/>
    <n v="77.7"/>
    <x v="3"/>
  </r>
  <r>
    <n v="984"/>
    <s v="Male"/>
    <x v="4"/>
    <n v="97.4"/>
    <n v="7"/>
    <x v="3"/>
    <x v="0"/>
    <s v="Yes"/>
    <x v="0"/>
    <n v="64.400000000000006"/>
    <n v="85"/>
    <x v="1"/>
  </r>
  <r>
    <n v="985"/>
    <s v="Female"/>
    <x v="46"/>
    <n v="83.4"/>
    <n v="6.7"/>
    <x v="0"/>
    <x v="0"/>
    <s v="Yes"/>
    <x v="0"/>
    <n v="55.9"/>
    <n v="75.400000000000006"/>
    <x v="3"/>
  </r>
  <r>
    <n v="986"/>
    <s v="Female"/>
    <x v="27"/>
    <n v="79.5"/>
    <n v="5.4"/>
    <x v="1"/>
    <x v="0"/>
    <s v="No"/>
    <x v="0"/>
    <n v="75.599999999999994"/>
    <n v="96.4"/>
    <x v="0"/>
  </r>
  <r>
    <n v="987"/>
    <s v="Female"/>
    <x v="37"/>
    <n v="86.6"/>
    <n v="8.5"/>
    <x v="1"/>
    <x v="0"/>
    <s v="Yes"/>
    <x v="0"/>
    <n v="91.4"/>
    <n v="81.8"/>
    <x v="1"/>
  </r>
  <r>
    <n v="988"/>
    <s v="Female"/>
    <x v="14"/>
    <n v="90"/>
    <n v="9"/>
    <x v="1"/>
    <x v="0"/>
    <s v="Yes"/>
    <x v="0"/>
    <n v="67"/>
    <n v="85.8"/>
    <x v="1"/>
  </r>
  <r>
    <n v="989"/>
    <s v="Female"/>
    <x v="51"/>
    <n v="96.2"/>
    <n v="4.8"/>
    <x v="2"/>
    <x v="0"/>
    <s v="No"/>
    <x v="0"/>
    <n v="41.5"/>
    <n v="80.900000000000006"/>
    <x v="1"/>
  </r>
  <r>
    <n v="990"/>
    <s v="Female"/>
    <x v="46"/>
    <n v="99.5"/>
    <n v="5.6"/>
    <x v="1"/>
    <x v="0"/>
    <s v="No"/>
    <x v="1"/>
    <n v="78"/>
    <n v="93.9"/>
    <x v="0"/>
  </r>
  <r>
    <n v="991"/>
    <s v="Female"/>
    <x v="44"/>
    <n v="81.400000000000006"/>
    <n v="6.5"/>
    <x v="2"/>
    <x v="0"/>
    <s v="No"/>
    <x v="0"/>
    <n v="81.8"/>
    <n v="81.900000000000006"/>
    <x v="1"/>
  </r>
  <r>
    <n v="992"/>
    <s v="Female"/>
    <x v="33"/>
    <n v="71.7"/>
    <n v="5.6"/>
    <x v="0"/>
    <x v="0"/>
    <s v="Yes"/>
    <x v="0"/>
    <n v="51"/>
    <n v="80.400000000000006"/>
    <x v="1"/>
  </r>
  <r>
    <n v="993"/>
    <s v="Female"/>
    <x v="3"/>
    <n v="80.900000000000006"/>
    <n v="7.4"/>
    <x v="1"/>
    <x v="0"/>
    <s v="Yes"/>
    <x v="0"/>
    <n v="72.099999999999994"/>
    <n v="78.8"/>
    <x v="3"/>
  </r>
  <r>
    <n v="994"/>
    <s v="Female"/>
    <x v="7"/>
    <n v="87.6"/>
    <n v="5.9"/>
    <x v="4"/>
    <x v="0"/>
    <s v="No"/>
    <x v="0"/>
    <n v="75.400000000000006"/>
    <n v="92.7"/>
    <x v="0"/>
  </r>
  <r>
    <n v="995"/>
    <s v="Female"/>
    <x v="30"/>
    <n v="75.400000000000006"/>
    <n v="9.4"/>
    <x v="0"/>
    <x v="0"/>
    <s v="Yes"/>
    <x v="0"/>
    <n v="69.099999999999994"/>
    <n v="79.099999999999994"/>
    <x v="3"/>
  </r>
  <r>
    <n v="996"/>
    <s v="Male"/>
    <x v="9"/>
    <n v="75.400000000000006"/>
    <n v="8.1999999999999993"/>
    <x v="3"/>
    <x v="0"/>
    <s v="Yes"/>
    <x v="0"/>
    <n v="60.5"/>
    <n v="70.7"/>
    <x v="3"/>
  </r>
  <r>
    <n v="997"/>
    <s v="Male"/>
    <x v="66"/>
    <n v="88.4"/>
    <n v="7.1"/>
    <x v="2"/>
    <x v="1"/>
    <s v="Yes"/>
    <x v="0"/>
    <n v="82.2"/>
    <n v="99.5"/>
    <x v="0"/>
  </r>
  <r>
    <n v="998"/>
    <s v="Female"/>
    <x v="3"/>
    <n v="84.5"/>
    <n v="8"/>
    <x v="1"/>
    <x v="0"/>
    <s v="Yes"/>
    <x v="1"/>
    <n v="65.2"/>
    <n v="79.2"/>
    <x v="3"/>
  </r>
  <r>
    <n v="999"/>
    <s v="Female"/>
    <x v="21"/>
    <n v="85.3"/>
    <n v="8.1"/>
    <x v="1"/>
    <x v="1"/>
    <s v="No"/>
    <x v="1"/>
    <n v="52.2"/>
    <n v="82.2"/>
    <x v="1"/>
  </r>
  <r>
    <n v="1000"/>
    <s v="Male"/>
    <x v="52"/>
    <n v="77.400000000000006"/>
    <n v="6.1"/>
    <x v="3"/>
    <x v="0"/>
    <s v="No"/>
    <x v="0"/>
    <n v="45.4"/>
    <n v="70.400000000000006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4"/>
    <n v="98"/>
    <n v="6.5"/>
    <s v="Bachelors"/>
    <s v="Yes"/>
    <x v="0"/>
    <s v="No"/>
    <n v="76.900000000000006"/>
    <n v="100"/>
    <x v="0"/>
  </r>
  <r>
    <n v="2"/>
    <x v="1"/>
    <n v="6.3"/>
    <n v="100"/>
    <n v="5.7"/>
    <s v="High School"/>
    <s v="Yes"/>
    <x v="0"/>
    <s v="Yes"/>
    <n v="75.5"/>
    <n v="100"/>
    <x v="0"/>
  </r>
  <r>
    <n v="3"/>
    <x v="0"/>
    <n v="4.9000000000000004"/>
    <n v="85.3"/>
    <n v="7.9"/>
    <s v="Bachelors"/>
    <s v="Yes"/>
    <x v="1"/>
    <s v="Yes"/>
    <n v="88.5"/>
    <n v="97.3"/>
    <x v="0"/>
  </r>
  <r>
    <n v="4"/>
    <x v="0"/>
    <n v="2.6"/>
    <n v="77.5"/>
    <n v="8"/>
    <s v="None"/>
    <s v="Yes"/>
    <x v="0"/>
    <s v="No"/>
    <n v="85.1"/>
    <n v="83.8"/>
    <x v="1"/>
  </r>
  <r>
    <n v="5"/>
    <x v="0"/>
    <n v="2.2000000000000002"/>
    <n v="89.6"/>
    <n v="4.5999999999999996"/>
    <s v="Bachelors"/>
    <s v="Yes"/>
    <x v="1"/>
    <s v="Yes"/>
    <n v="61.8"/>
    <n v="68.3"/>
    <x v="2"/>
  </r>
  <r>
    <n v="6"/>
    <x v="1"/>
    <n v="4.2"/>
    <n v="78.2"/>
    <n v="5.7"/>
    <s v="High School"/>
    <s v="Yes"/>
    <x v="1"/>
    <s v="No"/>
    <n v="79.8"/>
    <n v="81.599999999999994"/>
    <x v="1"/>
  </r>
  <r>
    <n v="7"/>
    <x v="0"/>
    <n v="1.5"/>
    <n v="100"/>
    <n v="5"/>
    <s v="High School"/>
    <s v="Yes"/>
    <x v="0"/>
    <s v="Yes"/>
    <n v="58.6"/>
    <n v="69.599999999999994"/>
    <x v="2"/>
  </r>
  <r>
    <n v="8"/>
    <x v="0"/>
    <n v="6.2"/>
    <n v="86.4"/>
    <n v="6"/>
    <s v="High School"/>
    <s v="Yes"/>
    <x v="0"/>
    <s v="No"/>
    <n v="78.400000000000006"/>
    <n v="88"/>
    <x v="1"/>
  </r>
  <r>
    <n v="9"/>
    <x v="0"/>
    <n v="5.3"/>
    <n v="81.3"/>
    <n v="6.7"/>
    <s v="Bachelors"/>
    <s v="Yes"/>
    <x v="1"/>
    <s v="No"/>
    <n v="63.8"/>
    <n v="84.4"/>
    <x v="1"/>
  </r>
  <r>
    <n v="10"/>
    <x v="1"/>
    <n v="2.8"/>
    <n v="86.8"/>
    <n v="5.0999999999999996"/>
    <s v="Bachelors"/>
    <s v="Yes"/>
    <x v="0"/>
    <s v="No"/>
    <n v="57.7"/>
    <n v="74.3"/>
    <x v="3"/>
  </r>
  <r>
    <n v="11"/>
    <x v="0"/>
    <n v="0.9"/>
    <n v="71.5"/>
    <n v="5.7"/>
    <s v="High School"/>
    <s v="Yes"/>
    <x v="1"/>
    <s v="Yes"/>
    <n v="73.400000000000006"/>
    <n v="68.900000000000006"/>
    <x v="2"/>
  </r>
  <r>
    <n v="12"/>
    <x v="0"/>
    <n v="5.5"/>
    <n v="75.3"/>
    <n v="5.6"/>
    <s v="None"/>
    <s v="Yes"/>
    <x v="0"/>
    <s v="No"/>
    <n v="37.9"/>
    <n v="76.7"/>
    <x v="3"/>
  </r>
  <r>
    <n v="13"/>
    <x v="0"/>
    <n v="3.3"/>
    <n v="97"/>
    <n v="7"/>
    <s v="Masters"/>
    <s v="Yes"/>
    <x v="0"/>
    <s v="Yes"/>
    <n v="49"/>
    <n v="82.6"/>
    <x v="1"/>
  </r>
  <r>
    <n v="14"/>
    <x v="0"/>
    <n v="5.4"/>
    <n v="78.400000000000006"/>
    <n v="6.9"/>
    <s v="Bachelors"/>
    <s v="No"/>
    <x v="1"/>
    <s v="No"/>
    <n v="67.900000000000006"/>
    <n v="93.3"/>
    <x v="0"/>
  </r>
  <r>
    <n v="15"/>
    <x v="1"/>
    <n v="1.1000000000000001"/>
    <n v="74.5"/>
    <n v="5.9"/>
    <s v="Masters"/>
    <s v="Yes"/>
    <x v="0"/>
    <s v="Yes"/>
    <n v="71"/>
    <n v="73.900000000000006"/>
    <x v="3"/>
  </r>
  <r>
    <n v="16"/>
    <x v="0"/>
    <n v="2.6"/>
    <n v="90.4"/>
    <n v="7"/>
    <s v="High School"/>
    <s v="Yes"/>
    <x v="0"/>
    <s v="No"/>
    <n v="65.599999999999994"/>
    <n v="84.8"/>
    <x v="1"/>
  </r>
  <r>
    <n v="17"/>
    <x v="1"/>
    <n v="3.5"/>
    <n v="96.9"/>
    <n v="6.1"/>
    <s v="Bachelors"/>
    <s v="Yes"/>
    <x v="0"/>
    <s v="No"/>
    <n v="51"/>
    <n v="81.5"/>
    <x v="1"/>
  </r>
  <r>
    <n v="18"/>
    <x v="1"/>
    <n v="3.6"/>
    <n v="92.2"/>
    <n v="6.5"/>
    <s v="Bachelors"/>
    <s v="Yes"/>
    <x v="0"/>
    <s v="Yes"/>
    <n v="60.2"/>
    <n v="75.5"/>
    <x v="3"/>
  </r>
  <r>
    <n v="19"/>
    <x v="1"/>
    <n v="2.8"/>
    <n v="95"/>
    <n v="8.8000000000000007"/>
    <s v="Masters"/>
    <s v="No"/>
    <x v="0"/>
    <s v="No"/>
    <n v="74.7"/>
    <n v="89.7"/>
    <x v="1"/>
  </r>
  <r>
    <n v="20"/>
    <x v="0"/>
    <n v="4.4000000000000004"/>
    <n v="77.400000000000006"/>
    <n v="8.4"/>
    <s v="Masters"/>
    <s v="No"/>
    <x v="1"/>
    <s v="Yes"/>
    <n v="77"/>
    <n v="92.8"/>
    <x v="0"/>
  </r>
  <r>
    <n v="21"/>
    <x v="1"/>
    <n v="1.9"/>
    <n v="70.8"/>
    <n v="5.2"/>
    <s v="High School"/>
    <s v="Yes"/>
    <x v="0"/>
    <s v="No"/>
    <n v="69.8"/>
    <n v="73.5"/>
    <x v="3"/>
  </r>
  <r>
    <n v="22"/>
    <x v="0"/>
    <n v="3.3"/>
    <n v="100"/>
    <n v="7.8"/>
    <s v="None"/>
    <s v="Yes"/>
    <x v="0"/>
    <s v="No"/>
    <n v="83.9"/>
    <n v="100"/>
    <x v="0"/>
  </r>
  <r>
    <n v="23"/>
    <x v="1"/>
    <n v="3.7"/>
    <n v="81.8"/>
    <n v="7.8"/>
    <s v="High School"/>
    <s v="No"/>
    <x v="1"/>
    <s v="No"/>
    <n v="74.8"/>
    <n v="73.400000000000006"/>
    <x v="3"/>
  </r>
  <r>
    <n v="24"/>
    <x v="1"/>
    <n v="4.3"/>
    <n v="82.5"/>
    <n v="5.4"/>
    <s v="PhD"/>
    <s v="No"/>
    <x v="0"/>
    <s v="No"/>
    <n v="61"/>
    <n v="71.2"/>
    <x v="3"/>
  </r>
  <r>
    <n v="25"/>
    <x v="1"/>
    <n v="4.5999999999999996"/>
    <n v="98.3"/>
    <n v="7.8"/>
    <s v="None"/>
    <s v="Yes"/>
    <x v="0"/>
    <s v="Yes"/>
    <n v="66.599999999999994"/>
    <n v="97.2"/>
    <x v="0"/>
  </r>
  <r>
    <n v="26"/>
    <x v="1"/>
    <n v="1.8"/>
    <n v="90.6"/>
    <n v="8.6"/>
    <s v="High School"/>
    <s v="Yes"/>
    <x v="1"/>
    <s v="No"/>
    <n v="53.2"/>
    <n v="76"/>
    <x v="3"/>
  </r>
  <r>
    <n v="27"/>
    <x v="1"/>
    <n v="1.2"/>
    <n v="89.6"/>
    <n v="5.5"/>
    <s v="Masters"/>
    <s v="Yes"/>
    <x v="1"/>
    <s v="Yes"/>
    <n v="68.7"/>
    <n v="78.7"/>
    <x v="3"/>
  </r>
  <r>
    <n v="28"/>
    <x v="1"/>
    <n v="5.4"/>
    <n v="100"/>
    <n v="5.7"/>
    <s v="High School"/>
    <s v="No"/>
    <x v="1"/>
    <s v="No"/>
    <n v="83.3"/>
    <n v="97.4"/>
    <x v="0"/>
  </r>
  <r>
    <n v="29"/>
    <x v="1"/>
    <n v="4"/>
    <n v="78.599999999999994"/>
    <n v="8"/>
    <s v="Bachelors"/>
    <s v="Yes"/>
    <x v="1"/>
    <s v="No"/>
    <n v="78.2"/>
    <n v="84.2"/>
    <x v="1"/>
  </r>
  <r>
    <n v="30"/>
    <x v="1"/>
    <n v="2.4"/>
    <n v="94.3"/>
    <n v="7.1"/>
    <s v="Bachelors"/>
    <s v="Yes"/>
    <x v="0"/>
    <s v="No"/>
    <n v="86.8"/>
    <n v="89.8"/>
    <x v="1"/>
  </r>
  <r>
    <n v="31"/>
    <x v="0"/>
    <n v="5.8"/>
    <n v="85.6"/>
    <n v="7.5"/>
    <s v="Bachelors"/>
    <s v="Yes"/>
    <x v="1"/>
    <s v="Yes"/>
    <n v="66.400000000000006"/>
    <n v="82.4"/>
    <x v="1"/>
  </r>
  <r>
    <n v="32"/>
    <x v="0"/>
    <n v="3.7"/>
    <n v="87.7"/>
    <n v="7.2"/>
    <s v="None"/>
    <s v="Yes"/>
    <x v="0"/>
    <s v="No"/>
    <n v="86.2"/>
    <n v="87.7"/>
    <x v="1"/>
  </r>
  <r>
    <n v="33"/>
    <x v="1"/>
    <n v="5.3"/>
    <n v="100"/>
    <n v="7.3"/>
    <s v="Masters"/>
    <s v="Yes"/>
    <x v="0"/>
    <s v="No"/>
    <n v="67.7"/>
    <n v="100"/>
    <x v="0"/>
  </r>
  <r>
    <n v="34"/>
    <x v="1"/>
    <n v="3.6"/>
    <n v="90.1"/>
    <n v="5.2"/>
    <s v="Bachelors"/>
    <s v="No"/>
    <x v="0"/>
    <s v="No"/>
    <n v="87.7"/>
    <n v="93.3"/>
    <x v="0"/>
  </r>
  <r>
    <n v="35"/>
    <x v="1"/>
    <n v="6.6"/>
    <n v="90.4"/>
    <n v="8.1"/>
    <s v="Masters"/>
    <s v="Yes"/>
    <x v="0"/>
    <s v="Yes"/>
    <n v="69.7"/>
    <n v="100"/>
    <x v="0"/>
  </r>
  <r>
    <n v="36"/>
    <x v="0"/>
    <n v="6.1"/>
    <n v="95.7"/>
    <n v="8.1999999999999993"/>
    <s v="None"/>
    <s v="Yes"/>
    <x v="0"/>
    <s v="Yes"/>
    <n v="78.5"/>
    <n v="92.9"/>
    <x v="0"/>
  </r>
  <r>
    <n v="37"/>
    <x v="1"/>
    <n v="3.1"/>
    <n v="81.400000000000006"/>
    <n v="6.5"/>
    <s v="High School"/>
    <s v="Yes"/>
    <x v="1"/>
    <s v="Yes"/>
    <n v="87.7"/>
    <n v="83.2"/>
    <x v="1"/>
  </r>
  <r>
    <n v="38"/>
    <x v="0"/>
    <n v="5"/>
    <n v="76.599999999999994"/>
    <n v="6.7"/>
    <s v="None"/>
    <s v="Yes"/>
    <x v="0"/>
    <s v="No"/>
    <n v="67.7"/>
    <n v="81.099999999999994"/>
    <x v="1"/>
  </r>
  <r>
    <n v="39"/>
    <x v="0"/>
    <n v="4.5"/>
    <n v="74.599999999999994"/>
    <n v="5"/>
    <s v="High School"/>
    <s v="Yes"/>
    <x v="0"/>
    <s v="Yes"/>
    <n v="72.599999999999994"/>
    <n v="89.5"/>
    <x v="1"/>
  </r>
  <r>
    <n v="40"/>
    <x v="0"/>
    <n v="5.6"/>
    <n v="65.3"/>
    <n v="7.4"/>
    <s v="Masters"/>
    <s v="Yes"/>
    <x v="0"/>
    <s v="No"/>
    <n v="85.5"/>
    <n v="91.6"/>
    <x v="0"/>
  </r>
  <r>
    <n v="41"/>
    <x v="0"/>
    <n v="2.1"/>
    <n v="100"/>
    <n v="7.5"/>
    <s v="High School"/>
    <s v="Yes"/>
    <x v="0"/>
    <s v="Yes"/>
    <n v="68.400000000000006"/>
    <n v="75.3"/>
    <x v="3"/>
  </r>
  <r>
    <n v="42"/>
    <x v="0"/>
    <n v="4.5"/>
    <n v="74"/>
    <n v="6.7"/>
    <s v="High School"/>
    <s v="Yes"/>
    <x v="1"/>
    <s v="No"/>
    <n v="54.1"/>
    <n v="79"/>
    <x v="3"/>
  </r>
  <r>
    <n v="43"/>
    <x v="1"/>
    <n v="5.0999999999999996"/>
    <n v="82.8"/>
    <n v="8.1"/>
    <s v="Bachelors"/>
    <s v="Yes"/>
    <x v="0"/>
    <s v="No"/>
    <n v="95.7"/>
    <n v="100"/>
    <x v="0"/>
  </r>
  <r>
    <n v="44"/>
    <x v="1"/>
    <n v="0.9"/>
    <n v="82.2"/>
    <n v="6.4"/>
    <s v="Bachelors"/>
    <s v="Yes"/>
    <x v="0"/>
    <s v="No"/>
    <n v="64.400000000000006"/>
    <n v="79.2"/>
    <x v="3"/>
  </r>
  <r>
    <n v="45"/>
    <x v="1"/>
    <n v="1.7"/>
    <n v="88.1"/>
    <n v="7.5"/>
    <s v="Bachelors"/>
    <s v="No"/>
    <x v="0"/>
    <s v="No"/>
    <n v="71.900000000000006"/>
    <n v="70.8"/>
    <x v="3"/>
  </r>
  <r>
    <n v="46"/>
    <x v="1"/>
    <n v="0.5"/>
    <n v="93.2"/>
    <n v="5.6"/>
    <s v="High School"/>
    <s v="No"/>
    <x v="1"/>
    <s v="Yes"/>
    <n v="83.9"/>
    <n v="61.8"/>
    <x v="2"/>
  </r>
  <r>
    <n v="47"/>
    <x v="1"/>
    <n v="3.1"/>
    <n v="93.6"/>
    <n v="6.8"/>
    <s v="Bachelors"/>
    <s v="Yes"/>
    <x v="0"/>
    <s v="Yes"/>
    <n v="62.7"/>
    <n v="68"/>
    <x v="2"/>
  </r>
  <r>
    <n v="48"/>
    <x v="0"/>
    <n v="4.5999999999999996"/>
    <n v="79.2"/>
    <n v="6.6"/>
    <s v="None"/>
    <s v="Yes"/>
    <x v="0"/>
    <s v="Yes"/>
    <n v="57.9"/>
    <n v="80.3"/>
    <x v="1"/>
  </r>
  <r>
    <n v="49"/>
    <x v="1"/>
    <n v="5.8"/>
    <n v="83.3"/>
    <n v="7.1"/>
    <s v="Bachelors"/>
    <s v="No"/>
    <x v="0"/>
    <s v="No"/>
    <n v="73"/>
    <n v="88.6"/>
    <x v="1"/>
  </r>
  <r>
    <n v="50"/>
    <x v="1"/>
    <n v="3.6"/>
    <n v="87.8"/>
    <n v="6.4"/>
    <s v="High School"/>
    <s v="Yes"/>
    <x v="0"/>
    <s v="No"/>
    <n v="48.5"/>
    <n v="69.400000000000006"/>
    <x v="2"/>
  </r>
  <r>
    <n v="51"/>
    <x v="0"/>
    <n v="5.9"/>
    <n v="82.5"/>
    <n v="6.6"/>
    <s v="Bachelors"/>
    <s v="Yes"/>
    <x v="0"/>
    <s v="No"/>
    <n v="66.5"/>
    <n v="100"/>
    <x v="0"/>
  </r>
  <r>
    <n v="52"/>
    <x v="1"/>
    <n v="1.4"/>
    <n v="100"/>
    <n v="7.8"/>
    <s v="High School"/>
    <s v="No"/>
    <x v="1"/>
    <s v="No"/>
    <n v="72.900000000000006"/>
    <n v="81.8"/>
    <x v="1"/>
  </r>
  <r>
    <n v="53"/>
    <x v="0"/>
    <n v="0.9"/>
    <n v="89.9"/>
    <n v="6.3"/>
    <s v="Masters"/>
    <s v="Yes"/>
    <x v="1"/>
    <s v="No"/>
    <n v="66.8"/>
    <n v="72.599999999999994"/>
    <x v="3"/>
  </r>
  <r>
    <n v="54"/>
    <x v="1"/>
    <n v="3.4"/>
    <n v="92.3"/>
    <n v="4.9000000000000004"/>
    <s v="Masters"/>
    <s v="Yes"/>
    <x v="1"/>
    <s v="No"/>
    <n v="51.5"/>
    <n v="85.3"/>
    <x v="1"/>
  </r>
  <r>
    <n v="55"/>
    <x v="0"/>
    <n v="4.0999999999999996"/>
    <n v="91.6"/>
    <n v="8.9"/>
    <s v="Bachelors"/>
    <s v="No"/>
    <x v="0"/>
    <s v="No"/>
    <n v="89.1"/>
    <n v="99.8"/>
    <x v="0"/>
  </r>
  <r>
    <n v="56"/>
    <x v="1"/>
    <n v="3.5"/>
    <n v="96.7"/>
    <n v="8.5"/>
    <s v="Bachelors"/>
    <s v="Yes"/>
    <x v="0"/>
    <s v="Yes"/>
    <n v="71.2"/>
    <n v="84.3"/>
    <x v="1"/>
  </r>
  <r>
    <n v="57"/>
    <x v="1"/>
    <n v="0.5"/>
    <n v="86.8"/>
    <n v="5.2"/>
    <s v="Masters"/>
    <s v="Yes"/>
    <x v="0"/>
    <s v="No"/>
    <n v="87.2"/>
    <n v="71.5"/>
    <x v="3"/>
  </r>
  <r>
    <n v="58"/>
    <x v="0"/>
    <n v="3.4"/>
    <n v="72"/>
    <n v="7.6"/>
    <s v="Bachelors"/>
    <s v="Yes"/>
    <x v="1"/>
    <s v="No"/>
    <n v="66.900000000000006"/>
    <n v="84.3"/>
    <x v="1"/>
  </r>
  <r>
    <n v="59"/>
    <x v="0"/>
    <n v="1.5"/>
    <n v="89"/>
    <n v="6.2"/>
    <s v="Masters"/>
    <s v="Yes"/>
    <x v="1"/>
    <s v="No"/>
    <n v="59.4"/>
    <n v="74.5"/>
    <x v="3"/>
  </r>
  <r>
    <n v="60"/>
    <x v="0"/>
    <n v="4.5"/>
    <n v="78.5"/>
    <n v="7.1"/>
    <s v="Bachelors"/>
    <s v="Yes"/>
    <x v="1"/>
    <s v="No"/>
    <n v="73.2"/>
    <n v="89.5"/>
    <x v="1"/>
  </r>
  <r>
    <n v="61"/>
    <x v="0"/>
    <n v="4"/>
    <n v="79.7"/>
    <n v="7.2"/>
    <s v="Masters"/>
    <s v="Yes"/>
    <x v="0"/>
    <s v="No"/>
    <n v="67.400000000000006"/>
    <n v="80.400000000000006"/>
    <x v="1"/>
  </r>
  <r>
    <n v="62"/>
    <x v="0"/>
    <n v="2.1"/>
    <n v="90.9"/>
    <n v="6.5"/>
    <s v="Bachelors"/>
    <s v="No"/>
    <x v="0"/>
    <s v="Yes"/>
    <n v="55.9"/>
    <n v="71.099999999999994"/>
    <x v="3"/>
  </r>
  <r>
    <n v="63"/>
    <x v="0"/>
    <n v="2.7"/>
    <n v="97.4"/>
    <n v="5.9"/>
    <s v="Bachelors"/>
    <s v="Yes"/>
    <x v="0"/>
    <s v="No"/>
    <n v="87.6"/>
    <n v="87.8"/>
    <x v="1"/>
  </r>
  <r>
    <n v="64"/>
    <x v="0"/>
    <n v="1.9"/>
    <n v="85.2"/>
    <n v="6"/>
    <s v="None"/>
    <s v="Yes"/>
    <x v="1"/>
    <s v="No"/>
    <n v="62.5"/>
    <n v="73"/>
    <x v="3"/>
  </r>
  <r>
    <n v="65"/>
    <x v="0"/>
    <n v="3.4"/>
    <n v="88.1"/>
    <n v="5.7"/>
    <s v="Bachelors"/>
    <s v="Yes"/>
    <x v="1"/>
    <s v="Yes"/>
    <n v="47.9"/>
    <n v="80.8"/>
    <x v="1"/>
  </r>
  <r>
    <n v="66"/>
    <x v="1"/>
    <n v="4.9000000000000004"/>
    <n v="100"/>
    <n v="5.8"/>
    <s v="Bachelors"/>
    <s v="Yes"/>
    <x v="1"/>
    <s v="No"/>
    <n v="85.9"/>
    <n v="97.4"/>
    <x v="0"/>
  </r>
  <r>
    <n v="67"/>
    <x v="1"/>
    <n v="2"/>
    <n v="87.4"/>
    <n v="6.7"/>
    <s v="High School"/>
    <s v="Yes"/>
    <x v="0"/>
    <s v="No"/>
    <n v="63.9"/>
    <n v="67.8"/>
    <x v="2"/>
  </r>
  <r>
    <n v="68"/>
    <x v="0"/>
    <n v="4.3"/>
    <n v="100"/>
    <n v="5.9"/>
    <s v="Bachelors"/>
    <s v="No"/>
    <x v="0"/>
    <s v="No"/>
    <n v="62.7"/>
    <n v="79.2"/>
    <x v="3"/>
  </r>
  <r>
    <n v="69"/>
    <x v="1"/>
    <n v="2.7"/>
    <n v="90.7"/>
    <n v="7.6"/>
    <s v="Bachelors"/>
    <s v="No"/>
    <x v="1"/>
    <s v="Yes"/>
    <n v="48.8"/>
    <n v="73.5"/>
    <x v="3"/>
  </r>
  <r>
    <n v="70"/>
    <x v="1"/>
    <n v="2.2999999999999998"/>
    <n v="67.400000000000006"/>
    <n v="8.6"/>
    <s v="High School"/>
    <s v="Yes"/>
    <x v="1"/>
    <s v="No"/>
    <n v="90.9"/>
    <n v="85.1"/>
    <x v="1"/>
  </r>
  <r>
    <n v="71"/>
    <x v="1"/>
    <n v="3.3"/>
    <n v="92.5"/>
    <n v="6.1"/>
    <s v="High School"/>
    <s v="Yes"/>
    <x v="0"/>
    <s v="No"/>
    <n v="54.5"/>
    <n v="79.599999999999994"/>
    <x v="3"/>
  </r>
  <r>
    <n v="72"/>
    <x v="1"/>
    <n v="1.9"/>
    <n v="88.8"/>
    <n v="7.1"/>
    <s v="Bachelors"/>
    <s v="Yes"/>
    <x v="0"/>
    <s v="No"/>
    <n v="70.7"/>
    <n v="77.400000000000006"/>
    <x v="3"/>
  </r>
  <r>
    <n v="73"/>
    <x v="0"/>
    <n v="2.7"/>
    <n v="97.9"/>
    <n v="7.4"/>
    <s v="Masters"/>
    <s v="Yes"/>
    <x v="0"/>
    <s v="No"/>
    <n v="81"/>
    <n v="94.6"/>
    <x v="0"/>
  </r>
  <r>
    <n v="74"/>
    <x v="1"/>
    <n v="1.7"/>
    <n v="91.7"/>
    <n v="7.4"/>
    <s v="Bachelors"/>
    <s v="Yes"/>
    <x v="0"/>
    <s v="No"/>
    <n v="75.099999999999994"/>
    <n v="77.599999999999994"/>
    <x v="3"/>
  </r>
  <r>
    <n v="75"/>
    <x v="0"/>
    <n v="6.4"/>
    <n v="83.6"/>
    <n v="6.9"/>
    <s v="High School"/>
    <s v="Yes"/>
    <x v="0"/>
    <s v="No"/>
    <n v="69.3"/>
    <n v="99.9"/>
    <x v="0"/>
  </r>
  <r>
    <n v="76"/>
    <x v="1"/>
    <n v="3.6"/>
    <n v="72.8"/>
    <n v="7.7"/>
    <s v="Masters"/>
    <s v="No"/>
    <x v="1"/>
    <s v="No"/>
    <n v="49.6"/>
    <n v="64.400000000000006"/>
    <x v="2"/>
  </r>
  <r>
    <n v="77"/>
    <x v="1"/>
    <n v="2.5"/>
    <n v="82.9"/>
    <n v="7.4"/>
    <s v="High School"/>
    <s v="Yes"/>
    <x v="0"/>
    <s v="No"/>
    <n v="60.3"/>
    <n v="71.900000000000006"/>
    <x v="3"/>
  </r>
  <r>
    <n v="78"/>
    <x v="1"/>
    <n v="3.8"/>
    <n v="76.5"/>
    <n v="5.3"/>
    <s v="Bachelors"/>
    <s v="Yes"/>
    <x v="0"/>
    <s v="No"/>
    <n v="72.3"/>
    <n v="79.3"/>
    <x v="3"/>
  </r>
  <r>
    <n v="79"/>
    <x v="0"/>
    <n v="3.3"/>
    <n v="79.2"/>
    <n v="7.8"/>
    <s v="High School"/>
    <s v="Yes"/>
    <x v="0"/>
    <s v="Yes"/>
    <n v="60.6"/>
    <n v="74.900000000000006"/>
    <x v="3"/>
  </r>
  <r>
    <n v="80"/>
    <x v="1"/>
    <n v="3.2"/>
    <n v="90.9"/>
    <n v="7.9"/>
    <s v="High School"/>
    <s v="Yes"/>
    <x v="1"/>
    <s v="No"/>
    <n v="72.400000000000006"/>
    <n v="87.4"/>
    <x v="1"/>
  </r>
  <r>
    <n v="81"/>
    <x v="0"/>
    <n v="4.4000000000000004"/>
    <n v="100"/>
    <n v="5.9"/>
    <s v="High School"/>
    <s v="Yes"/>
    <x v="1"/>
    <s v="No"/>
    <n v="78.2"/>
    <n v="97.6"/>
    <x v="0"/>
  </r>
  <r>
    <n v="82"/>
    <x v="1"/>
    <n v="4.5999999999999996"/>
    <n v="88.9"/>
    <n v="6.8"/>
    <s v="Bachelors"/>
    <s v="Yes"/>
    <x v="0"/>
    <s v="No"/>
    <n v="81.599999999999994"/>
    <n v="74.5"/>
    <x v="3"/>
  </r>
  <r>
    <n v="83"/>
    <x v="0"/>
    <n v="2.7"/>
    <n v="73"/>
    <n v="7.6"/>
    <s v="High School"/>
    <s v="Yes"/>
    <x v="1"/>
    <s v="Yes"/>
    <n v="55.3"/>
    <n v="64.099999999999994"/>
    <x v="2"/>
  </r>
  <r>
    <n v="84"/>
    <x v="1"/>
    <n v="2.6"/>
    <n v="89.4"/>
    <n v="6.5"/>
    <s v="Bachelors"/>
    <s v="Yes"/>
    <x v="1"/>
    <s v="No"/>
    <n v="96.4"/>
    <n v="90"/>
    <x v="0"/>
  </r>
  <r>
    <n v="85"/>
    <x v="0"/>
    <n v="3.1"/>
    <n v="97"/>
    <n v="8.1"/>
    <s v="Bachelors"/>
    <s v="Yes"/>
    <x v="0"/>
    <s v="Yes"/>
    <n v="79.2"/>
    <n v="99.3"/>
    <x v="0"/>
  </r>
  <r>
    <n v="86"/>
    <x v="0"/>
    <n v="0.5"/>
    <n v="78.900000000000006"/>
    <n v="9.6"/>
    <s v="Bachelors"/>
    <s v="Yes"/>
    <x v="0"/>
    <s v="Yes"/>
    <n v="70"/>
    <n v="63.9"/>
    <x v="2"/>
  </r>
  <r>
    <n v="87"/>
    <x v="1"/>
    <n v="1.2"/>
    <n v="83.7"/>
    <n v="5.9"/>
    <s v="Bachelors"/>
    <s v="Yes"/>
    <x v="1"/>
    <s v="No"/>
    <n v="83.1"/>
    <n v="79"/>
    <x v="3"/>
  </r>
  <r>
    <n v="88"/>
    <x v="0"/>
    <n v="5.6"/>
    <n v="85.1"/>
    <n v="5.0999999999999996"/>
    <s v="Masters"/>
    <s v="Yes"/>
    <x v="1"/>
    <s v="No"/>
    <n v="98.4"/>
    <n v="100"/>
    <x v="0"/>
  </r>
  <r>
    <n v="89"/>
    <x v="1"/>
    <n v="6"/>
    <n v="77.2"/>
    <n v="7.2"/>
    <s v="High School"/>
    <s v="Yes"/>
    <x v="1"/>
    <s v="No"/>
    <n v="52.7"/>
    <n v="78.900000000000006"/>
    <x v="3"/>
  </r>
  <r>
    <n v="90"/>
    <x v="1"/>
    <n v="3.1"/>
    <n v="91.5"/>
    <n v="7.7"/>
    <s v="Bachelors"/>
    <s v="Yes"/>
    <x v="1"/>
    <s v="Yes"/>
    <n v="67.3"/>
    <n v="84.5"/>
    <x v="1"/>
  </r>
  <r>
    <n v="91"/>
    <x v="1"/>
    <n v="4.4000000000000004"/>
    <n v="83.8"/>
    <n v="6.5"/>
    <s v="High School"/>
    <s v="Yes"/>
    <x v="1"/>
    <s v="No"/>
    <n v="41.5"/>
    <n v="71.7"/>
    <x v="3"/>
  </r>
  <r>
    <n v="92"/>
    <x v="1"/>
    <n v="4"/>
    <n v="89.2"/>
    <n v="8.5"/>
    <s v="High School"/>
    <s v="Yes"/>
    <x v="0"/>
    <s v="Yes"/>
    <n v="72.3"/>
    <n v="86.3"/>
    <x v="1"/>
  </r>
  <r>
    <n v="93"/>
    <x v="1"/>
    <n v="8.1"/>
    <n v="76.099999999999994"/>
    <n v="5.2"/>
    <s v="Bachelors"/>
    <s v="Yes"/>
    <x v="0"/>
    <s v="No"/>
    <n v="74.400000000000006"/>
    <n v="98.3"/>
    <x v="0"/>
  </r>
  <r>
    <n v="94"/>
    <x v="1"/>
    <n v="5.2"/>
    <n v="80.599999999999994"/>
    <n v="7.6"/>
    <s v="Bachelors"/>
    <s v="Yes"/>
    <x v="0"/>
    <s v="No"/>
    <n v="69.5"/>
    <n v="88.1"/>
    <x v="1"/>
  </r>
  <r>
    <n v="95"/>
    <x v="1"/>
    <n v="3.3"/>
    <n v="92.2"/>
    <n v="6.1"/>
    <s v="PhD"/>
    <s v="Yes"/>
    <x v="0"/>
    <s v="No"/>
    <n v="62.1"/>
    <n v="99.6"/>
    <x v="0"/>
  </r>
  <r>
    <n v="96"/>
    <x v="1"/>
    <n v="2.1"/>
    <n v="81.3"/>
    <n v="8.9"/>
    <s v="Bachelors"/>
    <s v="Yes"/>
    <x v="1"/>
    <s v="No"/>
    <n v="45.4"/>
    <n v="74.8"/>
    <x v="3"/>
  </r>
  <r>
    <n v="97"/>
    <x v="1"/>
    <n v="1.1000000000000001"/>
    <n v="100"/>
    <n v="9.1999999999999993"/>
    <s v="None"/>
    <s v="Yes"/>
    <x v="1"/>
    <s v="Yes"/>
    <n v="74.5"/>
    <n v="87.4"/>
    <x v="1"/>
  </r>
  <r>
    <n v="98"/>
    <x v="1"/>
    <n v="3.8"/>
    <n v="81"/>
    <n v="5.9"/>
    <s v="High School"/>
    <s v="No"/>
    <x v="1"/>
    <s v="No"/>
    <n v="87.5"/>
    <n v="88.5"/>
    <x v="1"/>
  </r>
  <r>
    <n v="99"/>
    <x v="1"/>
    <n v="2.4"/>
    <n v="87.2"/>
    <n v="6.1"/>
    <s v="High School"/>
    <s v="Yes"/>
    <x v="0"/>
    <s v="Yes"/>
    <n v="62.9"/>
    <n v="65.2"/>
    <x v="2"/>
  </r>
  <r>
    <n v="100"/>
    <x v="0"/>
    <n v="1.4"/>
    <n v="94.3"/>
    <n v="7.8"/>
    <s v="High School"/>
    <s v="No"/>
    <x v="1"/>
    <s v="No"/>
    <n v="75.3"/>
    <n v="79.2"/>
    <x v="3"/>
  </r>
  <r>
    <n v="101"/>
    <x v="0"/>
    <n v="2.5"/>
    <n v="70.8"/>
    <n v="6.3"/>
    <s v="High School"/>
    <s v="Yes"/>
    <x v="0"/>
    <s v="No"/>
    <n v="51.2"/>
    <n v="74.5"/>
    <x v="3"/>
  </r>
  <r>
    <n v="102"/>
    <x v="1"/>
    <n v="1.9"/>
    <n v="67.400000000000006"/>
    <n v="6.7"/>
    <s v="Bachelors"/>
    <s v="Yes"/>
    <x v="0"/>
    <s v="Yes"/>
    <n v="75.5"/>
    <n v="66.3"/>
    <x v="2"/>
  </r>
  <r>
    <n v="103"/>
    <x v="1"/>
    <n v="6"/>
    <n v="69.7"/>
    <n v="6.8"/>
    <s v="Bachelors"/>
    <s v="No"/>
    <x v="1"/>
    <s v="No"/>
    <n v="65.3"/>
    <n v="89.5"/>
    <x v="1"/>
  </r>
  <r>
    <n v="104"/>
    <x v="1"/>
    <n v="4.8"/>
    <n v="97.6"/>
    <n v="4.5"/>
    <s v="High School"/>
    <s v="Yes"/>
    <x v="1"/>
    <s v="No"/>
    <n v="60.9"/>
    <n v="92.7"/>
    <x v="0"/>
  </r>
  <r>
    <n v="105"/>
    <x v="1"/>
    <n v="3.5"/>
    <n v="79.5"/>
    <n v="6.8"/>
    <s v="None"/>
    <s v="Yes"/>
    <x v="1"/>
    <s v="Yes"/>
    <n v="60.9"/>
    <n v="87.2"/>
    <x v="1"/>
  </r>
  <r>
    <n v="106"/>
    <x v="1"/>
    <n v="5.7"/>
    <n v="100"/>
    <n v="6"/>
    <s v="Masters"/>
    <s v="Yes"/>
    <x v="0"/>
    <s v="Yes"/>
    <n v="65.3"/>
    <n v="92.5"/>
    <x v="0"/>
  </r>
  <r>
    <n v="107"/>
    <x v="1"/>
    <n v="3.6"/>
    <n v="79.400000000000006"/>
    <n v="6.2"/>
    <s v="High School"/>
    <s v="Yes"/>
    <x v="0"/>
    <s v="Yes"/>
    <n v="74.599999999999994"/>
    <n v="75.7"/>
    <x v="3"/>
  </r>
  <r>
    <n v="108"/>
    <x v="1"/>
    <n v="2.2000000000000002"/>
    <n v="86.8"/>
    <n v="8.5"/>
    <s v="High School"/>
    <s v="Yes"/>
    <x v="0"/>
    <s v="No"/>
    <n v="54.3"/>
    <n v="74"/>
    <x v="3"/>
  </r>
  <r>
    <n v="109"/>
    <x v="1"/>
    <n v="5.8"/>
    <n v="100"/>
    <n v="5.3"/>
    <s v="High School"/>
    <s v="Yes"/>
    <x v="0"/>
    <s v="No"/>
    <n v="65.2"/>
    <n v="100"/>
    <x v="0"/>
  </r>
  <r>
    <n v="110"/>
    <x v="0"/>
    <n v="4.3"/>
    <n v="100"/>
    <n v="7.8"/>
    <s v="High School"/>
    <s v="No"/>
    <x v="1"/>
    <s v="Yes"/>
    <n v="69.5"/>
    <n v="75.5"/>
    <x v="3"/>
  </r>
  <r>
    <n v="111"/>
    <x v="1"/>
    <n v="1.9"/>
    <n v="100"/>
    <n v="6.5"/>
    <s v="High School"/>
    <s v="Yes"/>
    <x v="1"/>
    <s v="Yes"/>
    <n v="56.8"/>
    <n v="61.7"/>
    <x v="2"/>
  </r>
  <r>
    <n v="112"/>
    <x v="0"/>
    <n v="3.2"/>
    <n v="97.1"/>
    <n v="6.5"/>
    <s v="Bachelors"/>
    <s v="No"/>
    <x v="1"/>
    <s v="No"/>
    <n v="91.6"/>
    <n v="91.4"/>
    <x v="0"/>
  </r>
  <r>
    <n v="113"/>
    <x v="1"/>
    <n v="2.2000000000000002"/>
    <n v="95.2"/>
    <n v="7.7"/>
    <s v="High School"/>
    <s v="No"/>
    <x v="0"/>
    <s v="No"/>
    <n v="59.8"/>
    <n v="72.7"/>
    <x v="3"/>
  </r>
  <r>
    <n v="114"/>
    <x v="1"/>
    <n v="1.4"/>
    <n v="90.9"/>
    <n v="7.2"/>
    <s v="Bachelors"/>
    <s v="Yes"/>
    <x v="1"/>
    <s v="No"/>
    <n v="62"/>
    <n v="74.599999999999994"/>
    <x v="3"/>
  </r>
  <r>
    <n v="115"/>
    <x v="0"/>
    <n v="4.9000000000000004"/>
    <n v="92.8"/>
    <n v="7.5"/>
    <s v="None"/>
    <s v="Yes"/>
    <x v="0"/>
    <s v="No"/>
    <n v="58.3"/>
    <n v="96.5"/>
    <x v="0"/>
  </r>
  <r>
    <n v="116"/>
    <x v="1"/>
    <n v="6.4"/>
    <n v="79.5"/>
    <n v="8"/>
    <s v="Masters"/>
    <s v="No"/>
    <x v="1"/>
    <s v="Yes"/>
    <n v="91.6"/>
    <n v="94.5"/>
    <x v="0"/>
  </r>
  <r>
    <n v="117"/>
    <x v="0"/>
    <n v="1.4"/>
    <n v="76.8"/>
    <n v="6.4"/>
    <s v="None"/>
    <s v="No"/>
    <x v="0"/>
    <s v="No"/>
    <n v="76.599999999999994"/>
    <n v="59.3"/>
    <x v="4"/>
  </r>
  <r>
    <n v="118"/>
    <x v="1"/>
    <n v="4.3"/>
    <n v="85"/>
    <n v="6.1"/>
    <s v="High School"/>
    <s v="Yes"/>
    <x v="0"/>
    <s v="No"/>
    <n v="58.8"/>
    <n v="96.2"/>
    <x v="0"/>
  </r>
  <r>
    <n v="119"/>
    <x v="1"/>
    <n v="2.5"/>
    <n v="83.3"/>
    <n v="5.5"/>
    <s v="Bachelors"/>
    <s v="Yes"/>
    <x v="0"/>
    <s v="Yes"/>
    <n v="83.3"/>
    <n v="75.3"/>
    <x v="3"/>
  </r>
  <r>
    <n v="120"/>
    <x v="0"/>
    <n v="2.8"/>
    <n v="80.5"/>
    <n v="5.8"/>
    <s v="Bachelors"/>
    <s v="Yes"/>
    <x v="1"/>
    <s v="No"/>
    <n v="72.400000000000006"/>
    <n v="73.3"/>
    <x v="3"/>
  </r>
  <r>
    <n v="121"/>
    <x v="1"/>
    <n v="2.6"/>
    <n v="92"/>
    <n v="10"/>
    <s v="High School"/>
    <s v="Yes"/>
    <x v="0"/>
    <s v="No"/>
    <n v="73.099999999999994"/>
    <n v="95.8"/>
    <x v="0"/>
  </r>
  <r>
    <n v="122"/>
    <x v="0"/>
    <n v="2.2000000000000002"/>
    <n v="94.6"/>
    <n v="8.3000000000000007"/>
    <s v="High School"/>
    <s v="Yes"/>
    <x v="0"/>
    <s v="No"/>
    <n v="65.900000000000006"/>
    <n v="81"/>
    <x v="1"/>
  </r>
  <r>
    <n v="123"/>
    <x v="1"/>
    <n v="3.6"/>
    <n v="85.9"/>
    <n v="5.2"/>
    <s v="Masters"/>
    <s v="Yes"/>
    <x v="1"/>
    <s v="Yes"/>
    <n v="61"/>
    <n v="76.5"/>
    <x v="3"/>
  </r>
  <r>
    <n v="124"/>
    <x v="0"/>
    <n v="2.2999999999999998"/>
    <n v="99.8"/>
    <n v="5.2"/>
    <s v="Bachelors"/>
    <s v="Yes"/>
    <x v="0"/>
    <s v="No"/>
    <n v="74.099999999999994"/>
    <n v="88.1"/>
    <x v="1"/>
  </r>
  <r>
    <n v="125"/>
    <x v="0"/>
    <n v="3.9"/>
    <n v="73.599999999999994"/>
    <n v="7.4"/>
    <s v="Bachelors"/>
    <s v="Yes"/>
    <x v="0"/>
    <s v="No"/>
    <n v="63.5"/>
    <n v="88.1"/>
    <x v="1"/>
  </r>
  <r>
    <n v="126"/>
    <x v="1"/>
    <n v="3.4"/>
    <n v="83.1"/>
    <n v="7.5"/>
    <s v="Bachelors"/>
    <s v="Yes"/>
    <x v="0"/>
    <s v="No"/>
    <n v="91.8"/>
    <n v="92.1"/>
    <x v="0"/>
  </r>
  <r>
    <n v="127"/>
    <x v="1"/>
    <n v="3.1"/>
    <n v="77.8"/>
    <n v="7.5"/>
    <s v="Bachelors"/>
    <s v="Yes"/>
    <x v="0"/>
    <s v="No"/>
    <n v="54.8"/>
    <n v="85.2"/>
    <x v="1"/>
  </r>
  <r>
    <n v="128"/>
    <x v="0"/>
    <n v="2.1"/>
    <n v="66.3"/>
    <n v="6.5"/>
    <s v="High School"/>
    <s v="Yes"/>
    <x v="1"/>
    <s v="Yes"/>
    <n v="88.4"/>
    <n v="63"/>
    <x v="2"/>
  </r>
  <r>
    <n v="129"/>
    <x v="1"/>
    <n v="2.6"/>
    <n v="84.2"/>
    <n v="6.6"/>
    <s v="High School"/>
    <s v="Yes"/>
    <x v="1"/>
    <s v="Yes"/>
    <n v="68.7"/>
    <n v="81.099999999999994"/>
    <x v="1"/>
  </r>
  <r>
    <n v="130"/>
    <x v="1"/>
    <n v="4.5999999999999996"/>
    <n v="83.8"/>
    <n v="7.2"/>
    <s v="High School"/>
    <s v="Yes"/>
    <x v="0"/>
    <s v="No"/>
    <n v="73.599999999999994"/>
    <n v="87.1"/>
    <x v="1"/>
  </r>
  <r>
    <n v="131"/>
    <x v="1"/>
    <n v="4.3"/>
    <n v="100"/>
    <n v="6.9"/>
    <s v="High School"/>
    <s v="Yes"/>
    <x v="1"/>
    <s v="Yes"/>
    <n v="80"/>
    <n v="100"/>
    <x v="0"/>
  </r>
  <r>
    <n v="132"/>
    <x v="0"/>
    <n v="2"/>
    <n v="91.3"/>
    <n v="4.0999999999999996"/>
    <s v="None"/>
    <s v="Yes"/>
    <x v="0"/>
    <s v="No"/>
    <n v="62.4"/>
    <n v="75.7"/>
    <x v="3"/>
  </r>
  <r>
    <n v="133"/>
    <x v="0"/>
    <n v="3.6"/>
    <n v="74.8"/>
    <n v="6.5"/>
    <s v="Bachelors"/>
    <s v="No"/>
    <x v="0"/>
    <s v="No"/>
    <n v="80.400000000000006"/>
    <n v="77.3"/>
    <x v="3"/>
  </r>
  <r>
    <n v="134"/>
    <x v="0"/>
    <n v="4.5999999999999996"/>
    <n v="100"/>
    <n v="5.8"/>
    <s v="Masters"/>
    <s v="Yes"/>
    <x v="0"/>
    <s v="No"/>
    <n v="37.5"/>
    <n v="85.6"/>
    <x v="1"/>
  </r>
  <r>
    <n v="135"/>
    <x v="0"/>
    <n v="1"/>
    <n v="97.2"/>
    <n v="7"/>
    <s v="High School"/>
    <s v="Yes"/>
    <x v="0"/>
    <s v="No"/>
    <n v="61.4"/>
    <n v="80.8"/>
    <x v="1"/>
  </r>
  <r>
    <n v="136"/>
    <x v="0"/>
    <n v="4.3"/>
    <n v="90.8"/>
    <n v="10"/>
    <s v="Bachelors"/>
    <s v="Yes"/>
    <x v="0"/>
    <s v="No"/>
    <n v="58.9"/>
    <n v="94.5"/>
    <x v="0"/>
  </r>
  <r>
    <n v="137"/>
    <x v="0"/>
    <n v="2.5"/>
    <n v="82.7"/>
    <n v="7.2"/>
    <s v="High School"/>
    <s v="No"/>
    <x v="1"/>
    <s v="Yes"/>
    <n v="55"/>
    <n v="59.7"/>
    <x v="4"/>
  </r>
  <r>
    <n v="138"/>
    <x v="0"/>
    <n v="4.4000000000000004"/>
    <n v="75.400000000000006"/>
    <n v="6.4"/>
    <s v="High School"/>
    <s v="Yes"/>
    <x v="1"/>
    <s v="No"/>
    <n v="67.400000000000006"/>
    <n v="80.900000000000006"/>
    <x v="1"/>
  </r>
  <r>
    <n v="139"/>
    <x v="0"/>
    <n v="2.4"/>
    <n v="81.3"/>
    <n v="7.9"/>
    <s v="High School"/>
    <s v="Yes"/>
    <x v="0"/>
    <s v="No"/>
    <n v="74.599999999999994"/>
    <n v="82.6"/>
    <x v="1"/>
  </r>
  <r>
    <n v="140"/>
    <x v="0"/>
    <n v="0.8"/>
    <n v="95.9"/>
    <n v="7.4"/>
    <s v="Masters"/>
    <s v="Yes"/>
    <x v="1"/>
    <s v="No"/>
    <n v="78.400000000000006"/>
    <n v="80.2"/>
    <x v="1"/>
  </r>
  <r>
    <n v="141"/>
    <x v="1"/>
    <n v="1.1000000000000001"/>
    <n v="100"/>
    <n v="7.3"/>
    <s v="Masters"/>
    <s v="Yes"/>
    <x v="1"/>
    <s v="Yes"/>
    <n v="72.900000000000006"/>
    <n v="82.4"/>
    <x v="1"/>
  </r>
  <r>
    <n v="142"/>
    <x v="0"/>
    <n v="3.6"/>
    <n v="100"/>
    <n v="7.5"/>
    <s v="Bachelors"/>
    <s v="Yes"/>
    <x v="1"/>
    <s v="No"/>
    <n v="62"/>
    <n v="75.900000000000006"/>
    <x v="3"/>
  </r>
  <r>
    <n v="143"/>
    <x v="1"/>
    <n v="3.9"/>
    <n v="80.099999999999994"/>
    <n v="9.3000000000000007"/>
    <s v="Bachelors"/>
    <s v="Yes"/>
    <x v="1"/>
    <s v="Yes"/>
    <n v="74.400000000000006"/>
    <n v="88.5"/>
    <x v="1"/>
  </r>
  <r>
    <n v="144"/>
    <x v="1"/>
    <n v="2.1"/>
    <n v="73.8"/>
    <n v="5.4"/>
    <s v="None"/>
    <s v="Yes"/>
    <x v="0"/>
    <s v="Yes"/>
    <n v="71.5"/>
    <n v="69.599999999999994"/>
    <x v="2"/>
  </r>
  <r>
    <n v="145"/>
    <x v="1"/>
    <n v="4.5"/>
    <n v="86.4"/>
    <n v="7.4"/>
    <s v="High School"/>
    <s v="Yes"/>
    <x v="1"/>
    <s v="Yes"/>
    <n v="81.2"/>
    <n v="86.8"/>
    <x v="1"/>
  </r>
  <r>
    <n v="146"/>
    <x v="0"/>
    <n v="1"/>
    <n v="67.3"/>
    <n v="5.7"/>
    <s v="High School"/>
    <s v="Yes"/>
    <x v="1"/>
    <s v="No"/>
    <n v="79.3"/>
    <n v="65.2"/>
    <x v="2"/>
  </r>
  <r>
    <n v="147"/>
    <x v="0"/>
    <n v="3.4"/>
    <n v="88.2"/>
    <n v="7.5"/>
    <s v="High School"/>
    <s v="Yes"/>
    <x v="1"/>
    <s v="Yes"/>
    <n v="70.400000000000006"/>
    <n v="82"/>
    <x v="1"/>
  </r>
  <r>
    <n v="148"/>
    <x v="0"/>
    <n v="1.7"/>
    <n v="83.5"/>
    <n v="5.7"/>
    <s v="Masters"/>
    <s v="Yes"/>
    <x v="0"/>
    <s v="Yes"/>
    <n v="59.2"/>
    <n v="46.8"/>
    <x v="4"/>
  </r>
  <r>
    <n v="149"/>
    <x v="0"/>
    <n v="2.5"/>
    <n v="80.3"/>
    <n v="6.3"/>
    <s v="None"/>
    <s v="Yes"/>
    <x v="0"/>
    <s v="Yes"/>
    <n v="62.2"/>
    <n v="68.599999999999994"/>
    <x v="2"/>
  </r>
  <r>
    <n v="150"/>
    <x v="1"/>
    <n v="3.6"/>
    <n v="69.099999999999994"/>
    <n v="6.4"/>
    <s v="High School"/>
    <s v="Yes"/>
    <x v="0"/>
    <s v="Yes"/>
    <n v="63.4"/>
    <n v="69.2"/>
    <x v="2"/>
  </r>
  <r>
    <n v="151"/>
    <x v="0"/>
    <n v="2.2000000000000002"/>
    <n v="90.1"/>
    <n v="8"/>
    <s v="PhD"/>
    <s v="Yes"/>
    <x v="0"/>
    <s v="No"/>
    <n v="66.2"/>
    <n v="84.7"/>
    <x v="1"/>
  </r>
  <r>
    <n v="152"/>
    <x v="0"/>
    <n v="2.9"/>
    <n v="79.7"/>
    <n v="7.9"/>
    <s v="Masters"/>
    <s v="Yes"/>
    <x v="0"/>
    <s v="Yes"/>
    <n v="73.2"/>
    <n v="75.900000000000006"/>
    <x v="3"/>
  </r>
  <r>
    <n v="153"/>
    <x v="0"/>
    <n v="5"/>
    <n v="73.3"/>
    <n v="5.3"/>
    <s v="High School"/>
    <s v="Yes"/>
    <x v="1"/>
    <s v="Yes"/>
    <n v="78.599999999999994"/>
    <n v="84.7"/>
    <x v="1"/>
  </r>
  <r>
    <n v="154"/>
    <x v="0"/>
    <n v="2.6"/>
    <n v="56.3"/>
    <n v="6.9"/>
    <s v="Bachelors"/>
    <s v="No"/>
    <x v="0"/>
    <s v="No"/>
    <n v="69.400000000000006"/>
    <n v="75.7"/>
    <x v="3"/>
  </r>
  <r>
    <n v="155"/>
    <x v="0"/>
    <n v="4.8"/>
    <n v="84.7"/>
    <n v="5.9"/>
    <s v="Bachelors"/>
    <s v="Yes"/>
    <x v="1"/>
    <s v="No"/>
    <n v="70.2"/>
    <n v="95.4"/>
    <x v="0"/>
  </r>
  <r>
    <n v="156"/>
    <x v="1"/>
    <n v="1.8"/>
    <n v="100"/>
    <n v="5.3"/>
    <s v="None"/>
    <s v="Yes"/>
    <x v="0"/>
    <s v="No"/>
    <n v="71.7"/>
    <n v="87.6"/>
    <x v="1"/>
  </r>
  <r>
    <n v="157"/>
    <x v="0"/>
    <n v="4.3"/>
    <n v="100"/>
    <n v="6.5"/>
    <s v="High School"/>
    <s v="Yes"/>
    <x v="1"/>
    <s v="No"/>
    <n v="63.8"/>
    <n v="87.7"/>
    <x v="1"/>
  </r>
  <r>
    <n v="158"/>
    <x v="1"/>
    <n v="5.7"/>
    <n v="80.400000000000006"/>
    <n v="6.4"/>
    <s v="Masters"/>
    <s v="Yes"/>
    <x v="0"/>
    <s v="Yes"/>
    <n v="58.9"/>
    <n v="89.3"/>
    <x v="1"/>
  </r>
  <r>
    <n v="159"/>
    <x v="0"/>
    <n v="0.5"/>
    <n v="79"/>
    <n v="9.6999999999999993"/>
    <s v="High School"/>
    <s v="Yes"/>
    <x v="0"/>
    <s v="No"/>
    <n v="48.9"/>
    <n v="63.7"/>
    <x v="2"/>
  </r>
  <r>
    <n v="160"/>
    <x v="1"/>
    <n v="2.2999999999999998"/>
    <n v="89.7"/>
    <n v="7.3"/>
    <s v="Masters"/>
    <s v="Yes"/>
    <x v="1"/>
    <s v="Yes"/>
    <n v="61.7"/>
    <n v="74"/>
    <x v="3"/>
  </r>
  <r>
    <n v="161"/>
    <x v="0"/>
    <n v="4.4000000000000004"/>
    <n v="75"/>
    <n v="5.0999999999999996"/>
    <s v="Bachelors"/>
    <s v="Yes"/>
    <x v="1"/>
    <s v="No"/>
    <n v="75.7"/>
    <n v="87.9"/>
    <x v="1"/>
  </r>
  <r>
    <n v="162"/>
    <x v="0"/>
    <n v="3.2"/>
    <n v="88"/>
    <n v="6.1"/>
    <s v="Bachelors"/>
    <s v="Yes"/>
    <x v="1"/>
    <s v="No"/>
    <n v="61.6"/>
    <n v="76.599999999999994"/>
    <x v="3"/>
  </r>
  <r>
    <n v="163"/>
    <x v="1"/>
    <n v="4.0999999999999996"/>
    <n v="92.7"/>
    <n v="8"/>
    <s v="Masters"/>
    <s v="Yes"/>
    <x v="0"/>
    <s v="Yes"/>
    <n v="67.099999999999994"/>
    <n v="97.3"/>
    <x v="0"/>
  </r>
  <r>
    <n v="164"/>
    <x v="1"/>
    <n v="2.6"/>
    <n v="97.3"/>
    <n v="9.3000000000000007"/>
    <s v="Masters"/>
    <s v="Yes"/>
    <x v="0"/>
    <s v="No"/>
    <n v="75.599999999999994"/>
    <n v="90.2"/>
    <x v="0"/>
  </r>
  <r>
    <n v="165"/>
    <x v="1"/>
    <n v="3.6"/>
    <n v="84"/>
    <n v="4.9000000000000004"/>
    <s v="PhD"/>
    <s v="Yes"/>
    <x v="1"/>
    <s v="No"/>
    <n v="76.2"/>
    <n v="88.7"/>
    <x v="1"/>
  </r>
  <r>
    <n v="166"/>
    <x v="0"/>
    <n v="3.3"/>
    <n v="83"/>
    <n v="4.5"/>
    <s v="High School"/>
    <s v="Yes"/>
    <x v="0"/>
    <s v="No"/>
    <n v="57"/>
    <n v="84.8"/>
    <x v="1"/>
  </r>
  <r>
    <n v="167"/>
    <x v="1"/>
    <n v="5.3"/>
    <n v="76.2"/>
    <n v="9"/>
    <s v="Masters"/>
    <s v="Yes"/>
    <x v="1"/>
    <s v="No"/>
    <n v="82"/>
    <n v="100"/>
    <x v="0"/>
  </r>
  <r>
    <n v="168"/>
    <x v="0"/>
    <n v="3.9"/>
    <n v="76.7"/>
    <n v="7.3"/>
    <s v="High School"/>
    <s v="Yes"/>
    <x v="0"/>
    <s v="No"/>
    <n v="83.5"/>
    <n v="82.1"/>
    <x v="1"/>
  </r>
  <r>
    <n v="169"/>
    <x v="0"/>
    <n v="4"/>
    <n v="82.7"/>
    <n v="5.8"/>
    <s v="Bachelors"/>
    <s v="No"/>
    <x v="0"/>
    <s v="Yes"/>
    <n v="56.4"/>
    <n v="75.099999999999994"/>
    <x v="3"/>
  </r>
  <r>
    <n v="170"/>
    <x v="1"/>
    <n v="2.9"/>
    <n v="88.7"/>
    <n v="7.4"/>
    <s v="Bachelors"/>
    <s v="No"/>
    <x v="0"/>
    <s v="Yes"/>
    <n v="60.1"/>
    <n v="78.099999999999994"/>
    <x v="3"/>
  </r>
  <r>
    <n v="171"/>
    <x v="1"/>
    <n v="2.8"/>
    <n v="94.1"/>
    <n v="3.6"/>
    <s v="Bachelors"/>
    <s v="Yes"/>
    <x v="0"/>
    <s v="No"/>
    <n v="84.3"/>
    <n v="92.9"/>
    <x v="0"/>
  </r>
  <r>
    <n v="172"/>
    <x v="0"/>
    <n v="2.9"/>
    <n v="77"/>
    <n v="6.8"/>
    <s v="Bachelors"/>
    <s v="Yes"/>
    <x v="1"/>
    <s v="No"/>
    <n v="68.2"/>
    <n v="71.8"/>
    <x v="3"/>
  </r>
  <r>
    <n v="173"/>
    <x v="0"/>
    <n v="4.0999999999999996"/>
    <n v="99.9"/>
    <n v="7.2"/>
    <s v="None"/>
    <s v="Yes"/>
    <x v="1"/>
    <s v="No"/>
    <n v="43.4"/>
    <n v="78.5"/>
    <x v="3"/>
  </r>
  <r>
    <n v="174"/>
    <x v="1"/>
    <n v="2.9"/>
    <n v="82.3"/>
    <n v="7.9"/>
    <s v="High School"/>
    <s v="Yes"/>
    <x v="0"/>
    <s v="No"/>
    <n v="53.2"/>
    <n v="82.6"/>
    <x v="1"/>
  </r>
  <r>
    <n v="175"/>
    <x v="1"/>
    <n v="3.9"/>
    <n v="84.8"/>
    <n v="5.6"/>
    <s v="Masters"/>
    <s v="Yes"/>
    <x v="1"/>
    <s v="No"/>
    <n v="67"/>
    <n v="79.2"/>
    <x v="3"/>
  </r>
  <r>
    <n v="176"/>
    <x v="1"/>
    <n v="6.6"/>
    <n v="77.5"/>
    <n v="6.9"/>
    <s v="Bachelors"/>
    <s v="Yes"/>
    <x v="0"/>
    <s v="No"/>
    <n v="56"/>
    <n v="89.7"/>
    <x v="1"/>
  </r>
  <r>
    <n v="177"/>
    <x v="0"/>
    <n v="4.8"/>
    <n v="60.8"/>
    <n v="5.7"/>
    <s v="High School"/>
    <s v="Yes"/>
    <x v="0"/>
    <s v="No"/>
    <n v="65"/>
    <n v="89.2"/>
    <x v="1"/>
  </r>
  <r>
    <n v="178"/>
    <x v="0"/>
    <n v="3"/>
    <n v="93.8"/>
    <n v="7.1"/>
    <s v="High School"/>
    <s v="No"/>
    <x v="0"/>
    <s v="No"/>
    <n v="70.400000000000006"/>
    <n v="81.7"/>
    <x v="1"/>
  </r>
  <r>
    <n v="179"/>
    <x v="0"/>
    <n v="5.3"/>
    <n v="92.4"/>
    <n v="5.7"/>
    <s v="None"/>
    <s v="Yes"/>
    <x v="1"/>
    <s v="No"/>
    <n v="87.5"/>
    <n v="96.7"/>
    <x v="0"/>
  </r>
  <r>
    <n v="180"/>
    <x v="0"/>
    <n v="2.9"/>
    <n v="82.2"/>
    <n v="6.3"/>
    <s v="PhD"/>
    <s v="Yes"/>
    <x v="1"/>
    <s v="No"/>
    <n v="66.5"/>
    <n v="73.7"/>
    <x v="3"/>
  </r>
  <r>
    <n v="181"/>
    <x v="0"/>
    <n v="0.5"/>
    <n v="85.7"/>
    <n v="5.6"/>
    <s v="None"/>
    <s v="Yes"/>
    <x v="1"/>
    <s v="No"/>
    <n v="82.9"/>
    <n v="77.099999999999994"/>
    <x v="3"/>
  </r>
  <r>
    <n v="182"/>
    <x v="0"/>
    <n v="2"/>
    <n v="90.2"/>
    <n v="7.6"/>
    <s v="None"/>
    <s v="Yes"/>
    <x v="1"/>
    <s v="Yes"/>
    <n v="87.1"/>
    <n v="76.5"/>
    <x v="3"/>
  </r>
  <r>
    <n v="183"/>
    <x v="1"/>
    <n v="0.7"/>
    <n v="69.400000000000006"/>
    <n v="7.8"/>
    <s v="High School"/>
    <s v="Yes"/>
    <x v="1"/>
    <s v="No"/>
    <n v="87.2"/>
    <n v="73.2"/>
    <x v="3"/>
  </r>
  <r>
    <n v="184"/>
    <x v="0"/>
    <n v="3"/>
    <n v="79.7"/>
    <n v="6.5"/>
    <s v="Bachelors"/>
    <s v="Yes"/>
    <x v="1"/>
    <s v="No"/>
    <n v="73.400000000000006"/>
    <n v="83.6"/>
    <x v="1"/>
  </r>
  <r>
    <n v="185"/>
    <x v="0"/>
    <n v="3.5"/>
    <n v="92.9"/>
    <n v="6.8"/>
    <s v="Masters"/>
    <s v="Yes"/>
    <x v="1"/>
    <s v="No"/>
    <n v="46.4"/>
    <n v="85.8"/>
    <x v="1"/>
  </r>
  <r>
    <n v="186"/>
    <x v="0"/>
    <n v="6"/>
    <n v="72.5"/>
    <n v="5.0999999999999996"/>
    <s v="Bachelors"/>
    <s v="Yes"/>
    <x v="1"/>
    <s v="No"/>
    <n v="75.5"/>
    <n v="95.7"/>
    <x v="0"/>
  </r>
  <r>
    <n v="187"/>
    <x v="1"/>
    <n v="4"/>
    <n v="87.9"/>
    <n v="6.4"/>
    <s v="Bachelors"/>
    <s v="Yes"/>
    <x v="0"/>
    <s v="No"/>
    <n v="82.6"/>
    <n v="89.2"/>
    <x v="1"/>
  </r>
  <r>
    <n v="188"/>
    <x v="0"/>
    <n v="3.2"/>
    <n v="71.400000000000006"/>
    <n v="6.7"/>
    <s v="Bachelors"/>
    <s v="Yes"/>
    <x v="0"/>
    <s v="Yes"/>
    <n v="69"/>
    <n v="83.1"/>
    <x v="1"/>
  </r>
  <r>
    <n v="189"/>
    <x v="0"/>
    <n v="4.7"/>
    <n v="89.7"/>
    <n v="9.9"/>
    <s v="Bachelors"/>
    <s v="Yes"/>
    <x v="0"/>
    <s v="No"/>
    <n v="90.9"/>
    <n v="100"/>
    <x v="0"/>
  </r>
  <r>
    <n v="190"/>
    <x v="1"/>
    <n v="0.5"/>
    <n v="84.6"/>
    <n v="5.5"/>
    <s v="Bachelors"/>
    <s v="Yes"/>
    <x v="0"/>
    <s v="No"/>
    <n v="80.3"/>
    <n v="67.2"/>
    <x v="2"/>
  </r>
  <r>
    <n v="191"/>
    <x v="0"/>
    <n v="3.9"/>
    <n v="68.8"/>
    <n v="8.6"/>
    <s v="High School"/>
    <s v="Yes"/>
    <x v="1"/>
    <s v="No"/>
    <n v="76.8"/>
    <n v="84.6"/>
    <x v="1"/>
  </r>
  <r>
    <n v="192"/>
    <x v="0"/>
    <n v="4.7"/>
    <n v="96.6"/>
    <n v="8"/>
    <s v="Bachelors"/>
    <s v="Yes"/>
    <x v="0"/>
    <s v="Yes"/>
    <n v="83"/>
    <n v="100"/>
    <x v="0"/>
  </r>
  <r>
    <n v="193"/>
    <x v="0"/>
    <n v="1.3"/>
    <n v="77.7"/>
    <n v="7.1"/>
    <s v="Bachelors"/>
    <s v="Yes"/>
    <x v="1"/>
    <s v="No"/>
    <n v="74"/>
    <n v="75.2"/>
    <x v="3"/>
  </r>
  <r>
    <n v="194"/>
    <x v="0"/>
    <n v="5.2"/>
    <n v="76.900000000000006"/>
    <n v="8.9"/>
    <s v="Bachelors"/>
    <s v="Yes"/>
    <x v="0"/>
    <s v="No"/>
    <n v="40.1"/>
    <n v="81.099999999999994"/>
    <x v="1"/>
  </r>
  <r>
    <n v="195"/>
    <x v="0"/>
    <n v="4"/>
    <n v="87"/>
    <n v="7.2"/>
    <s v="High School"/>
    <s v="Yes"/>
    <x v="0"/>
    <s v="No"/>
    <n v="64"/>
    <n v="96.5"/>
    <x v="0"/>
  </r>
  <r>
    <n v="196"/>
    <x v="1"/>
    <n v="2.9"/>
    <n v="96.5"/>
    <n v="7.3"/>
    <s v="Masters"/>
    <s v="No"/>
    <x v="0"/>
    <s v="No"/>
    <n v="84.4"/>
    <n v="79.8"/>
    <x v="3"/>
  </r>
  <r>
    <n v="197"/>
    <x v="1"/>
    <n v="4.4000000000000004"/>
    <n v="74.8"/>
    <n v="6.7"/>
    <s v="High School"/>
    <s v="Yes"/>
    <x v="1"/>
    <s v="No"/>
    <n v="60.3"/>
    <n v="73.400000000000006"/>
    <x v="3"/>
  </r>
  <r>
    <n v="198"/>
    <x v="1"/>
    <n v="6.9"/>
    <n v="85.6"/>
    <n v="8.3000000000000007"/>
    <s v="Bachelors"/>
    <s v="Yes"/>
    <x v="0"/>
    <s v="No"/>
    <n v="67.3"/>
    <n v="92.2"/>
    <x v="0"/>
  </r>
  <r>
    <n v="199"/>
    <x v="0"/>
    <n v="3.8"/>
    <n v="89.3"/>
    <n v="8.1"/>
    <s v="Masters"/>
    <s v="Yes"/>
    <x v="0"/>
    <s v="No"/>
    <n v="57.5"/>
    <n v="87.3"/>
    <x v="1"/>
  </r>
  <r>
    <n v="200"/>
    <x v="0"/>
    <n v="3.9"/>
    <n v="91.9"/>
    <n v="6"/>
    <s v="Bachelors"/>
    <s v="No"/>
    <x v="1"/>
    <s v="No"/>
    <n v="91.4"/>
    <n v="92.5"/>
    <x v="0"/>
  </r>
  <r>
    <n v="201"/>
    <x v="0"/>
    <n v="2.8"/>
    <n v="86.8"/>
    <n v="5.2"/>
    <s v="High School"/>
    <s v="Yes"/>
    <x v="1"/>
    <s v="Yes"/>
    <n v="90.2"/>
    <n v="94.6"/>
    <x v="0"/>
  </r>
  <r>
    <n v="202"/>
    <x v="1"/>
    <n v="2.2000000000000002"/>
    <n v="81.3"/>
    <n v="6.6"/>
    <s v="Masters"/>
    <s v="Yes"/>
    <x v="0"/>
    <s v="No"/>
    <n v="59.4"/>
    <n v="75.5"/>
    <x v="3"/>
  </r>
  <r>
    <n v="203"/>
    <x v="0"/>
    <n v="4.7"/>
    <n v="76.7"/>
    <n v="5.8"/>
    <s v="Bachelors"/>
    <s v="Yes"/>
    <x v="0"/>
    <s v="No"/>
    <n v="71.8"/>
    <n v="85.3"/>
    <x v="1"/>
  </r>
  <r>
    <n v="204"/>
    <x v="0"/>
    <n v="2.2000000000000002"/>
    <n v="85.9"/>
    <n v="6.7"/>
    <s v="Masters"/>
    <s v="Yes"/>
    <x v="0"/>
    <s v="No"/>
    <n v="61.8"/>
    <n v="76.7"/>
    <x v="3"/>
  </r>
  <r>
    <n v="205"/>
    <x v="1"/>
    <n v="3.6"/>
    <n v="74.3"/>
    <n v="8.3000000000000007"/>
    <s v="Masters"/>
    <s v="Yes"/>
    <x v="1"/>
    <s v="No"/>
    <n v="77.400000000000006"/>
    <n v="86.8"/>
    <x v="1"/>
  </r>
  <r>
    <n v="206"/>
    <x v="0"/>
    <n v="2.8"/>
    <n v="55.8"/>
    <n v="6.3"/>
    <s v="Bachelors"/>
    <s v="Yes"/>
    <x v="0"/>
    <s v="Yes"/>
    <n v="76.099999999999994"/>
    <n v="61.1"/>
    <x v="2"/>
  </r>
  <r>
    <n v="207"/>
    <x v="1"/>
    <n v="4.2"/>
    <n v="89.4"/>
    <n v="6.7"/>
    <s v="Bachelors"/>
    <s v="Yes"/>
    <x v="0"/>
    <s v="Yes"/>
    <n v="79.7"/>
    <n v="100"/>
    <x v="0"/>
  </r>
  <r>
    <n v="208"/>
    <x v="1"/>
    <n v="4"/>
    <n v="94"/>
    <n v="6.9"/>
    <s v="High School"/>
    <s v="No"/>
    <x v="0"/>
    <s v="No"/>
    <n v="74"/>
    <n v="90.9"/>
    <x v="0"/>
  </r>
  <r>
    <n v="209"/>
    <x v="1"/>
    <n v="5.0999999999999996"/>
    <n v="61.4"/>
    <n v="7.8"/>
    <s v="High School"/>
    <s v="Yes"/>
    <x v="0"/>
    <s v="Yes"/>
    <n v="100"/>
    <n v="96.1"/>
    <x v="0"/>
  </r>
  <r>
    <n v="210"/>
    <x v="0"/>
    <n v="2.7"/>
    <n v="74.900000000000006"/>
    <n v="4.0999999999999996"/>
    <s v="Bachelors"/>
    <s v="Yes"/>
    <x v="1"/>
    <s v="No"/>
    <n v="57.7"/>
    <n v="73.099999999999994"/>
    <x v="3"/>
  </r>
  <r>
    <n v="211"/>
    <x v="0"/>
    <n v="3.1"/>
    <n v="91.2"/>
    <n v="6.1"/>
    <s v="Bachelors"/>
    <s v="Yes"/>
    <x v="0"/>
    <s v="No"/>
    <n v="49.5"/>
    <n v="81.2"/>
    <x v="1"/>
  </r>
  <r>
    <n v="212"/>
    <x v="0"/>
    <n v="2"/>
    <n v="100"/>
    <n v="7.1"/>
    <s v="Bachelors"/>
    <s v="Yes"/>
    <x v="0"/>
    <s v="No"/>
    <n v="65.3"/>
    <n v="81.8"/>
    <x v="1"/>
  </r>
  <r>
    <n v="213"/>
    <x v="0"/>
    <n v="2.8"/>
    <n v="85.2"/>
    <n v="8.1999999999999993"/>
    <s v="High School"/>
    <s v="Yes"/>
    <x v="0"/>
    <s v="Yes"/>
    <n v="51.2"/>
    <n v="70"/>
    <x v="3"/>
  </r>
  <r>
    <n v="214"/>
    <x v="0"/>
    <n v="4.0999999999999996"/>
    <n v="77.7"/>
    <n v="6.2"/>
    <s v="High School"/>
    <s v="Yes"/>
    <x v="0"/>
    <s v="Yes"/>
    <n v="52.1"/>
    <n v="78.5"/>
    <x v="3"/>
  </r>
  <r>
    <n v="215"/>
    <x v="0"/>
    <n v="4.5999999999999996"/>
    <n v="83.2"/>
    <n v="4.5"/>
    <s v="Bachelors"/>
    <s v="Yes"/>
    <x v="0"/>
    <s v="No"/>
    <n v="58"/>
    <n v="84.7"/>
    <x v="1"/>
  </r>
  <r>
    <n v="216"/>
    <x v="0"/>
    <n v="2.1"/>
    <n v="98.7"/>
    <n v="7.5"/>
    <s v="High School"/>
    <s v="Yes"/>
    <x v="1"/>
    <s v="No"/>
    <n v="58.9"/>
    <n v="74.7"/>
    <x v="3"/>
  </r>
  <r>
    <n v="217"/>
    <x v="1"/>
    <n v="4.8"/>
    <n v="78.5"/>
    <n v="6"/>
    <s v="Masters"/>
    <s v="Yes"/>
    <x v="1"/>
    <s v="No"/>
    <n v="58.5"/>
    <n v="91.2"/>
    <x v="0"/>
  </r>
  <r>
    <n v="218"/>
    <x v="0"/>
    <n v="5.5"/>
    <n v="77"/>
    <n v="5.4"/>
    <s v="High School"/>
    <s v="Yes"/>
    <x v="1"/>
    <s v="No"/>
    <n v="76.2"/>
    <n v="93.4"/>
    <x v="0"/>
  </r>
  <r>
    <n v="219"/>
    <x v="1"/>
    <n v="4.0999999999999996"/>
    <n v="80.2"/>
    <n v="6.1"/>
    <s v="Bachelors"/>
    <s v="Yes"/>
    <x v="1"/>
    <s v="No"/>
    <n v="63.9"/>
    <n v="86.8"/>
    <x v="1"/>
  </r>
  <r>
    <n v="220"/>
    <x v="0"/>
    <n v="6.3"/>
    <n v="75.5"/>
    <n v="6.6"/>
    <s v="None"/>
    <s v="Yes"/>
    <x v="1"/>
    <s v="No"/>
    <n v="67.8"/>
    <n v="100"/>
    <x v="0"/>
  </r>
  <r>
    <n v="221"/>
    <x v="0"/>
    <n v="2.2999999999999998"/>
    <n v="86.2"/>
    <n v="6.1"/>
    <s v="High School"/>
    <s v="Yes"/>
    <x v="0"/>
    <s v="No"/>
    <n v="80.7"/>
    <n v="84.3"/>
    <x v="1"/>
  </r>
  <r>
    <n v="222"/>
    <x v="0"/>
    <n v="1.6"/>
    <n v="100"/>
    <n v="4.2"/>
    <s v="Bachelors"/>
    <s v="No"/>
    <x v="1"/>
    <s v="No"/>
    <n v="60.8"/>
    <n v="71.5"/>
    <x v="3"/>
  </r>
  <r>
    <n v="223"/>
    <x v="1"/>
    <n v="0.8"/>
    <n v="88.2"/>
    <n v="7.9"/>
    <s v="High School"/>
    <s v="No"/>
    <x v="1"/>
    <s v="Yes"/>
    <n v="66.8"/>
    <n v="70.5"/>
    <x v="3"/>
  </r>
  <r>
    <n v="224"/>
    <x v="1"/>
    <n v="5.7"/>
    <n v="82.5"/>
    <n v="8.3000000000000007"/>
    <s v="Bachelors"/>
    <s v="Yes"/>
    <x v="1"/>
    <s v="Yes"/>
    <n v="74.400000000000006"/>
    <n v="89.9"/>
    <x v="1"/>
  </r>
  <r>
    <n v="225"/>
    <x v="1"/>
    <n v="4.5"/>
    <n v="82.1"/>
    <n v="7.6"/>
    <s v="Bachelors"/>
    <s v="Yes"/>
    <x v="0"/>
    <s v="No"/>
    <n v="46.7"/>
    <n v="81.099999999999994"/>
    <x v="1"/>
  </r>
  <r>
    <n v="226"/>
    <x v="1"/>
    <n v="3.4"/>
    <n v="69.400000000000006"/>
    <n v="5.4"/>
    <s v="Bachelors"/>
    <s v="Yes"/>
    <x v="0"/>
    <s v="No"/>
    <n v="41.4"/>
    <n v="67.400000000000006"/>
    <x v="2"/>
  </r>
  <r>
    <n v="227"/>
    <x v="0"/>
    <n v="3.9"/>
    <n v="93.8"/>
    <n v="6.6"/>
    <s v="Bachelors"/>
    <s v="Yes"/>
    <x v="1"/>
    <s v="Yes"/>
    <n v="74.2"/>
    <n v="82.2"/>
    <x v="1"/>
  </r>
  <r>
    <n v="228"/>
    <x v="1"/>
    <n v="1.8"/>
    <n v="84.2"/>
    <n v="6.8"/>
    <s v="PhD"/>
    <s v="Yes"/>
    <x v="1"/>
    <s v="Yes"/>
    <n v="75.900000000000006"/>
    <n v="90"/>
    <x v="0"/>
  </r>
  <r>
    <n v="229"/>
    <x v="0"/>
    <n v="7.2"/>
    <n v="83.2"/>
    <n v="7.5"/>
    <s v="High School"/>
    <s v="Yes"/>
    <x v="1"/>
    <s v="No"/>
    <n v="94.8"/>
    <n v="100"/>
    <x v="0"/>
  </r>
  <r>
    <n v="230"/>
    <x v="0"/>
    <n v="3.7"/>
    <n v="100"/>
    <n v="7.6"/>
    <s v="High School"/>
    <s v="Yes"/>
    <x v="0"/>
    <s v="Yes"/>
    <n v="71.900000000000006"/>
    <n v="82.7"/>
    <x v="1"/>
  </r>
  <r>
    <n v="231"/>
    <x v="1"/>
    <n v="3.7"/>
    <n v="88"/>
    <n v="5.9"/>
    <s v="PhD"/>
    <s v="Yes"/>
    <x v="0"/>
    <s v="No"/>
    <n v="79.8"/>
    <n v="98.3"/>
    <x v="0"/>
  </r>
  <r>
    <n v="232"/>
    <x v="1"/>
    <n v="4.5999999999999996"/>
    <n v="77.5"/>
    <n v="6.9"/>
    <s v="Bachelors"/>
    <s v="Yes"/>
    <x v="0"/>
    <s v="No"/>
    <n v="67.7"/>
    <n v="91.5"/>
    <x v="0"/>
  </r>
  <r>
    <n v="233"/>
    <x v="1"/>
    <n v="4.2"/>
    <n v="80.7"/>
    <n v="7.3"/>
    <s v="PhD"/>
    <s v="Yes"/>
    <x v="1"/>
    <s v="No"/>
    <n v="73.599999999999994"/>
    <n v="82.2"/>
    <x v="1"/>
  </r>
  <r>
    <n v="234"/>
    <x v="1"/>
    <n v="3.8"/>
    <n v="96.5"/>
    <n v="8.5"/>
    <s v="Bachelors"/>
    <s v="Yes"/>
    <x v="0"/>
    <s v="No"/>
    <n v="90"/>
    <n v="100"/>
    <x v="0"/>
  </r>
  <r>
    <n v="235"/>
    <x v="1"/>
    <n v="2.2999999999999998"/>
    <n v="86.1"/>
    <n v="7.6"/>
    <s v="Masters"/>
    <s v="Yes"/>
    <x v="0"/>
    <s v="No"/>
    <n v="44.5"/>
    <n v="80.2"/>
    <x v="1"/>
  </r>
  <r>
    <n v="236"/>
    <x v="1"/>
    <n v="4.2"/>
    <n v="70.599999999999994"/>
    <n v="7.7"/>
    <s v="Bachelors"/>
    <s v="Yes"/>
    <x v="1"/>
    <s v="No"/>
    <n v="75"/>
    <n v="85.7"/>
    <x v="1"/>
  </r>
  <r>
    <n v="237"/>
    <x v="1"/>
    <n v="6.3"/>
    <n v="94.2"/>
    <n v="6.9"/>
    <s v="Masters"/>
    <s v="Yes"/>
    <x v="0"/>
    <s v="No"/>
    <n v="95.6"/>
    <n v="100"/>
    <x v="0"/>
  </r>
  <r>
    <n v="238"/>
    <x v="1"/>
    <n v="5.5"/>
    <n v="78.3"/>
    <n v="8.5"/>
    <s v="None"/>
    <s v="Yes"/>
    <x v="1"/>
    <s v="No"/>
    <n v="73.400000000000006"/>
    <n v="84.4"/>
    <x v="1"/>
  </r>
  <r>
    <n v="239"/>
    <x v="0"/>
    <n v="5.9"/>
    <n v="100"/>
    <n v="7.3"/>
    <s v="Bachelors"/>
    <s v="Yes"/>
    <x v="0"/>
    <s v="No"/>
    <n v="89.8"/>
    <n v="100"/>
    <x v="0"/>
  </r>
  <r>
    <n v="240"/>
    <x v="1"/>
    <n v="2.7"/>
    <n v="95.8"/>
    <n v="5.8"/>
    <s v="High School"/>
    <s v="Yes"/>
    <x v="1"/>
    <s v="Yes"/>
    <n v="62.4"/>
    <n v="84.6"/>
    <x v="1"/>
  </r>
  <r>
    <n v="241"/>
    <x v="1"/>
    <n v="2"/>
    <n v="80.5"/>
    <n v="8.5"/>
    <s v="High School"/>
    <s v="Yes"/>
    <x v="1"/>
    <s v="Yes"/>
    <n v="69.599999999999994"/>
    <n v="80.599999999999994"/>
    <x v="1"/>
  </r>
  <r>
    <n v="242"/>
    <x v="0"/>
    <n v="3.3"/>
    <n v="97.8"/>
    <n v="7.6"/>
    <s v="High School"/>
    <s v="Yes"/>
    <x v="1"/>
    <s v="Yes"/>
    <n v="70.400000000000006"/>
    <n v="85.1"/>
    <x v="1"/>
  </r>
  <r>
    <n v="243"/>
    <x v="1"/>
    <n v="3.6"/>
    <n v="85.7"/>
    <n v="6.3"/>
    <s v="High School"/>
    <s v="Yes"/>
    <x v="1"/>
    <s v="Yes"/>
    <n v="43.4"/>
    <n v="69.400000000000006"/>
    <x v="2"/>
  </r>
  <r>
    <n v="244"/>
    <x v="0"/>
    <n v="5.0999999999999996"/>
    <n v="93.5"/>
    <n v="6.2"/>
    <s v="High School"/>
    <s v="Yes"/>
    <x v="0"/>
    <s v="No"/>
    <n v="56"/>
    <n v="92.2"/>
    <x v="0"/>
  </r>
  <r>
    <n v="245"/>
    <x v="0"/>
    <n v="1"/>
    <n v="89.8"/>
    <n v="7.2"/>
    <s v="Bachelors"/>
    <s v="Yes"/>
    <x v="0"/>
    <s v="No"/>
    <n v="56.8"/>
    <n v="76.2"/>
    <x v="3"/>
  </r>
  <r>
    <n v="246"/>
    <x v="1"/>
    <n v="5.8"/>
    <n v="76.5"/>
    <n v="7.4"/>
    <s v="Bachelors"/>
    <s v="Yes"/>
    <x v="0"/>
    <s v="No"/>
    <n v="79.900000000000006"/>
    <n v="100"/>
    <x v="0"/>
  </r>
  <r>
    <n v="247"/>
    <x v="0"/>
    <n v="3.3"/>
    <n v="78.599999999999994"/>
    <n v="7"/>
    <s v="Bachelors"/>
    <s v="Yes"/>
    <x v="1"/>
    <s v="No"/>
    <n v="80.5"/>
    <n v="92.2"/>
    <x v="0"/>
  </r>
  <r>
    <n v="248"/>
    <x v="0"/>
    <n v="2.9"/>
    <n v="95.3"/>
    <n v="7.2"/>
    <s v="Bachelors"/>
    <s v="No"/>
    <x v="1"/>
    <s v="No"/>
    <n v="73.900000000000006"/>
    <n v="76.5"/>
    <x v="3"/>
  </r>
  <r>
    <n v="249"/>
    <x v="0"/>
    <n v="2"/>
    <n v="81.7"/>
    <n v="8.8000000000000007"/>
    <s v="High School"/>
    <s v="Yes"/>
    <x v="0"/>
    <s v="No"/>
    <n v="79.900000000000006"/>
    <n v="82.7"/>
    <x v="1"/>
  </r>
  <r>
    <n v="250"/>
    <x v="0"/>
    <n v="1"/>
    <n v="81"/>
    <n v="8.1"/>
    <s v="High School"/>
    <s v="Yes"/>
    <x v="1"/>
    <s v="No"/>
    <n v="68"/>
    <n v="67.099999999999994"/>
    <x v="2"/>
  </r>
  <r>
    <n v="251"/>
    <x v="1"/>
    <n v="4.7"/>
    <n v="75.400000000000006"/>
    <n v="7"/>
    <s v="High School"/>
    <s v="Yes"/>
    <x v="0"/>
    <s v="Yes"/>
    <n v="84.4"/>
    <n v="88.4"/>
    <x v="1"/>
  </r>
  <r>
    <n v="252"/>
    <x v="0"/>
    <n v="3.6"/>
    <n v="89.2"/>
    <n v="7.9"/>
    <s v="Bachelors"/>
    <s v="Yes"/>
    <x v="1"/>
    <s v="Yes"/>
    <n v="70.099999999999994"/>
    <n v="91"/>
    <x v="0"/>
  </r>
  <r>
    <n v="253"/>
    <x v="1"/>
    <n v="1.6"/>
    <n v="100"/>
    <n v="5.6"/>
    <s v="High School"/>
    <s v="No"/>
    <x v="1"/>
    <s v="No"/>
    <n v="70.7"/>
    <n v="75.8"/>
    <x v="3"/>
  </r>
  <r>
    <n v="254"/>
    <x v="0"/>
    <n v="1.6"/>
    <n v="74.3"/>
    <n v="7.3"/>
    <s v="High School"/>
    <s v="Yes"/>
    <x v="0"/>
    <s v="No"/>
    <n v="66.8"/>
    <n v="88.3"/>
    <x v="1"/>
  </r>
  <r>
    <n v="255"/>
    <x v="0"/>
    <n v="3"/>
    <n v="85.2"/>
    <n v="9"/>
    <s v="Bachelors"/>
    <s v="Yes"/>
    <x v="0"/>
    <s v="Yes"/>
    <n v="78.2"/>
    <n v="87.6"/>
    <x v="1"/>
  </r>
  <r>
    <n v="256"/>
    <x v="0"/>
    <n v="6"/>
    <n v="99.1"/>
    <n v="6.5"/>
    <s v="Masters"/>
    <s v="Yes"/>
    <x v="0"/>
    <s v="Yes"/>
    <n v="64.900000000000006"/>
    <n v="96.8"/>
    <x v="0"/>
  </r>
  <r>
    <n v="257"/>
    <x v="0"/>
    <n v="3.1"/>
    <n v="84.2"/>
    <n v="5.8"/>
    <s v="High School"/>
    <s v="Yes"/>
    <x v="1"/>
    <s v="No"/>
    <n v="81.7"/>
    <n v="86.7"/>
    <x v="1"/>
  </r>
  <r>
    <n v="258"/>
    <x v="1"/>
    <n v="1.2"/>
    <n v="89.5"/>
    <n v="6"/>
    <s v="Bachelors"/>
    <s v="Yes"/>
    <x v="0"/>
    <s v="Yes"/>
    <n v="56.4"/>
    <n v="63.7"/>
    <x v="2"/>
  </r>
  <r>
    <n v="259"/>
    <x v="1"/>
    <n v="3.1"/>
    <n v="74.400000000000006"/>
    <n v="5.5"/>
    <s v="Masters"/>
    <s v="Yes"/>
    <x v="0"/>
    <s v="No"/>
    <n v="56.8"/>
    <n v="73"/>
    <x v="3"/>
  </r>
  <r>
    <n v="260"/>
    <x v="0"/>
    <n v="3.1"/>
    <n v="89.3"/>
    <n v="5.9"/>
    <s v="Masters"/>
    <s v="Yes"/>
    <x v="0"/>
    <s v="No"/>
    <n v="78.2"/>
    <n v="94.3"/>
    <x v="0"/>
  </r>
  <r>
    <n v="261"/>
    <x v="0"/>
    <n v="0.5"/>
    <n v="83.1"/>
    <n v="6.4"/>
    <s v="None"/>
    <s v="Yes"/>
    <x v="0"/>
    <s v="No"/>
    <n v="68.900000000000006"/>
    <n v="71.3"/>
    <x v="3"/>
  </r>
  <r>
    <n v="262"/>
    <x v="1"/>
    <n v="3.4"/>
    <n v="94.9"/>
    <n v="5.0999999999999996"/>
    <s v="High School"/>
    <s v="Yes"/>
    <x v="0"/>
    <s v="No"/>
    <n v="64.599999999999994"/>
    <n v="79.7"/>
    <x v="3"/>
  </r>
  <r>
    <n v="263"/>
    <x v="0"/>
    <n v="3.2"/>
    <n v="96.9"/>
    <n v="6.8"/>
    <s v="High School"/>
    <s v="No"/>
    <x v="1"/>
    <s v="No"/>
    <n v="80.7"/>
    <n v="81.2"/>
    <x v="1"/>
  </r>
  <r>
    <n v="264"/>
    <x v="0"/>
    <n v="4.5"/>
    <n v="100"/>
    <n v="7.9"/>
    <s v="PhD"/>
    <s v="Yes"/>
    <x v="0"/>
    <s v="No"/>
    <n v="62.7"/>
    <n v="91.1"/>
    <x v="0"/>
  </r>
  <r>
    <n v="265"/>
    <x v="0"/>
    <n v="6.3"/>
    <n v="90.8"/>
    <n v="5.7"/>
    <s v="Bachelors"/>
    <s v="Yes"/>
    <x v="1"/>
    <s v="No"/>
    <n v="67.599999999999994"/>
    <n v="97.5"/>
    <x v="0"/>
  </r>
  <r>
    <n v="266"/>
    <x v="1"/>
    <n v="5.2"/>
    <n v="88.3"/>
    <n v="8.6"/>
    <s v="Bachelors"/>
    <s v="Yes"/>
    <x v="1"/>
    <s v="No"/>
    <n v="86.8"/>
    <n v="100"/>
    <x v="0"/>
  </r>
  <r>
    <n v="267"/>
    <x v="1"/>
    <n v="3.1"/>
    <n v="86.9"/>
    <n v="7.4"/>
    <s v="Masters"/>
    <s v="Yes"/>
    <x v="0"/>
    <s v="Yes"/>
    <n v="88.5"/>
    <n v="81.599999999999994"/>
    <x v="1"/>
  </r>
  <r>
    <n v="268"/>
    <x v="1"/>
    <n v="1.8"/>
    <n v="81.5"/>
    <n v="8"/>
    <s v="Masters"/>
    <s v="Yes"/>
    <x v="0"/>
    <s v="No"/>
    <n v="88.9"/>
    <n v="83.9"/>
    <x v="1"/>
  </r>
  <r>
    <n v="269"/>
    <x v="0"/>
    <n v="7.4"/>
    <n v="88.4"/>
    <n v="6"/>
    <s v="None"/>
    <s v="Yes"/>
    <x v="1"/>
    <s v="No"/>
    <n v="66.599999999999994"/>
    <n v="100"/>
    <x v="0"/>
  </r>
  <r>
    <n v="270"/>
    <x v="0"/>
    <n v="3.6"/>
    <n v="82"/>
    <n v="7.8"/>
    <s v="None"/>
    <s v="Yes"/>
    <x v="1"/>
    <s v="No"/>
    <n v="84.8"/>
    <n v="80.2"/>
    <x v="1"/>
  </r>
  <r>
    <n v="271"/>
    <x v="1"/>
    <n v="3.5"/>
    <n v="86.7"/>
    <n v="5.5"/>
    <s v="Masters"/>
    <s v="Yes"/>
    <x v="0"/>
    <s v="No"/>
    <n v="58.6"/>
    <n v="75.099999999999994"/>
    <x v="3"/>
  </r>
  <r>
    <n v="272"/>
    <x v="1"/>
    <n v="3.5"/>
    <n v="98.2"/>
    <n v="7.9"/>
    <s v="High School"/>
    <s v="No"/>
    <x v="0"/>
    <s v="No"/>
    <n v="59.1"/>
    <n v="78.2"/>
    <x v="3"/>
  </r>
  <r>
    <n v="273"/>
    <x v="1"/>
    <n v="3.8"/>
    <n v="74.900000000000006"/>
    <n v="7"/>
    <s v="PhD"/>
    <s v="Yes"/>
    <x v="0"/>
    <s v="Yes"/>
    <n v="41.8"/>
    <n v="64.7"/>
    <x v="2"/>
  </r>
  <r>
    <n v="274"/>
    <x v="1"/>
    <n v="3.3"/>
    <n v="96.4"/>
    <n v="7.5"/>
    <s v="High School"/>
    <s v="Yes"/>
    <x v="1"/>
    <s v="No"/>
    <n v="90.1"/>
    <n v="97.8"/>
    <x v="0"/>
  </r>
  <r>
    <n v="275"/>
    <x v="0"/>
    <n v="2.6"/>
    <n v="98.2"/>
    <n v="5.4"/>
    <s v="High School"/>
    <s v="No"/>
    <x v="0"/>
    <s v="No"/>
    <n v="59.6"/>
    <n v="74.400000000000006"/>
    <x v="3"/>
  </r>
  <r>
    <n v="276"/>
    <x v="1"/>
    <n v="2.7"/>
    <n v="83.8"/>
    <n v="5.7"/>
    <s v="PhD"/>
    <s v="Yes"/>
    <x v="0"/>
    <s v="No"/>
    <n v="68.5"/>
    <n v="76.400000000000006"/>
    <x v="3"/>
  </r>
  <r>
    <n v="277"/>
    <x v="0"/>
    <n v="3.5"/>
    <n v="63.8"/>
    <n v="7.5"/>
    <s v="High School"/>
    <s v="Yes"/>
    <x v="1"/>
    <s v="No"/>
    <n v="59.1"/>
    <n v="76.3"/>
    <x v="3"/>
  </r>
  <r>
    <n v="278"/>
    <x v="1"/>
    <n v="2.7"/>
    <n v="78.900000000000006"/>
    <n v="5.7"/>
    <s v="High School"/>
    <s v="Yes"/>
    <x v="1"/>
    <s v="Yes"/>
    <n v="78.3"/>
    <n v="88.3"/>
    <x v="1"/>
  </r>
  <r>
    <n v="279"/>
    <x v="0"/>
    <n v="2.4"/>
    <n v="98"/>
    <n v="7.4"/>
    <s v="High School"/>
    <s v="Yes"/>
    <x v="0"/>
    <s v="No"/>
    <n v="65.5"/>
    <n v="94"/>
    <x v="0"/>
  </r>
  <r>
    <n v="280"/>
    <x v="1"/>
    <n v="3.7"/>
    <n v="84.8"/>
    <n v="5.2"/>
    <s v="PhD"/>
    <s v="No"/>
    <x v="0"/>
    <s v="Yes"/>
    <n v="54.3"/>
    <n v="58.8"/>
    <x v="4"/>
  </r>
  <r>
    <n v="281"/>
    <x v="1"/>
    <n v="3.1"/>
    <n v="75"/>
    <n v="7.8"/>
    <s v="Bachelors"/>
    <s v="No"/>
    <x v="1"/>
    <s v="No"/>
    <n v="75.3"/>
    <n v="81.099999999999994"/>
    <x v="1"/>
  </r>
  <r>
    <n v="282"/>
    <x v="1"/>
    <n v="5.8"/>
    <n v="80"/>
    <n v="5.3"/>
    <s v="Masters"/>
    <s v="Yes"/>
    <x v="0"/>
    <s v="No"/>
    <n v="52.8"/>
    <n v="84.5"/>
    <x v="1"/>
  </r>
  <r>
    <n v="283"/>
    <x v="1"/>
    <n v="0.5"/>
    <n v="93.4"/>
    <n v="7.5"/>
    <s v="High School"/>
    <s v="Yes"/>
    <x v="0"/>
    <s v="Yes"/>
    <n v="60"/>
    <n v="69.900000000000006"/>
    <x v="2"/>
  </r>
  <r>
    <n v="284"/>
    <x v="0"/>
    <n v="5.0999999999999996"/>
    <n v="90.5"/>
    <n v="7.6"/>
    <s v="Masters"/>
    <s v="Yes"/>
    <x v="1"/>
    <s v="No"/>
    <n v="44.7"/>
    <n v="82.2"/>
    <x v="1"/>
  </r>
  <r>
    <n v="285"/>
    <x v="1"/>
    <n v="5.4"/>
    <n v="82.6"/>
    <n v="6"/>
    <s v="Masters"/>
    <s v="Yes"/>
    <x v="0"/>
    <s v="Yes"/>
    <n v="52.9"/>
    <n v="83.3"/>
    <x v="1"/>
  </r>
  <r>
    <n v="286"/>
    <x v="0"/>
    <n v="0.5"/>
    <n v="81.3"/>
    <n v="7.5"/>
    <s v="High School"/>
    <s v="Yes"/>
    <x v="1"/>
    <s v="Yes"/>
    <n v="72.099999999999994"/>
    <n v="69.5"/>
    <x v="2"/>
  </r>
  <r>
    <n v="287"/>
    <x v="0"/>
    <n v="3"/>
    <n v="81.099999999999994"/>
    <n v="7.1"/>
    <s v="Bachelors"/>
    <s v="Yes"/>
    <x v="1"/>
    <s v="No"/>
    <n v="46.4"/>
    <n v="68.5"/>
    <x v="2"/>
  </r>
  <r>
    <n v="288"/>
    <x v="0"/>
    <n v="2.9"/>
    <n v="75.8"/>
    <n v="6.2"/>
    <s v="High School"/>
    <s v="No"/>
    <x v="0"/>
    <s v="No"/>
    <n v="52.2"/>
    <n v="61.5"/>
    <x v="2"/>
  </r>
  <r>
    <n v="289"/>
    <x v="0"/>
    <n v="1.4"/>
    <n v="100"/>
    <n v="5.6"/>
    <s v="None"/>
    <s v="No"/>
    <x v="0"/>
    <s v="No"/>
    <n v="70"/>
    <n v="72.3"/>
    <x v="3"/>
  </r>
  <r>
    <n v="290"/>
    <x v="1"/>
    <n v="2.2999999999999998"/>
    <n v="81.8"/>
    <n v="4.4000000000000004"/>
    <s v="Bachelors"/>
    <s v="Yes"/>
    <x v="1"/>
    <s v="No"/>
    <n v="63.5"/>
    <n v="74.099999999999994"/>
    <x v="3"/>
  </r>
  <r>
    <n v="291"/>
    <x v="0"/>
    <n v="1.8"/>
    <n v="97.2"/>
    <n v="7.2"/>
    <s v="None"/>
    <s v="Yes"/>
    <x v="1"/>
    <s v="No"/>
    <n v="93.9"/>
    <n v="94.9"/>
    <x v="0"/>
  </r>
  <r>
    <n v="292"/>
    <x v="0"/>
    <n v="6.1"/>
    <n v="100"/>
    <n v="4.9000000000000004"/>
    <s v="High School"/>
    <s v="Yes"/>
    <x v="1"/>
    <s v="No"/>
    <n v="92"/>
    <n v="100"/>
    <x v="0"/>
  </r>
  <r>
    <n v="293"/>
    <x v="0"/>
    <n v="4.9000000000000004"/>
    <n v="95"/>
    <n v="6.9"/>
    <s v="Masters"/>
    <s v="Yes"/>
    <x v="1"/>
    <s v="Yes"/>
    <n v="59.6"/>
    <n v="84.5"/>
    <x v="1"/>
  </r>
  <r>
    <n v="294"/>
    <x v="1"/>
    <n v="5.4"/>
    <n v="80.7"/>
    <n v="6.5"/>
    <s v="Masters"/>
    <s v="Yes"/>
    <x v="0"/>
    <s v="Yes"/>
    <n v="76.7"/>
    <n v="93.7"/>
    <x v="0"/>
  </r>
  <r>
    <n v="295"/>
    <x v="1"/>
    <n v="4.5999999999999996"/>
    <n v="89"/>
    <n v="7.6"/>
    <s v="Masters"/>
    <s v="Yes"/>
    <x v="1"/>
    <s v="No"/>
    <n v="79"/>
    <n v="100"/>
    <x v="0"/>
  </r>
  <r>
    <n v="296"/>
    <x v="1"/>
    <n v="1.8"/>
    <n v="84.8"/>
    <n v="6.4"/>
    <s v="None"/>
    <s v="Yes"/>
    <x v="0"/>
    <s v="No"/>
    <n v="62.8"/>
    <n v="81.599999999999994"/>
    <x v="1"/>
  </r>
  <r>
    <n v="297"/>
    <x v="1"/>
    <n v="2.7"/>
    <n v="76"/>
    <n v="6.4"/>
    <s v="Bachelors"/>
    <s v="Yes"/>
    <x v="0"/>
    <s v="No"/>
    <n v="52.1"/>
    <n v="70.900000000000006"/>
    <x v="3"/>
  </r>
  <r>
    <n v="298"/>
    <x v="0"/>
    <n v="4.2"/>
    <n v="88.2"/>
    <n v="7.7"/>
    <s v="High School"/>
    <s v="Yes"/>
    <x v="0"/>
    <s v="No"/>
    <n v="69.900000000000006"/>
    <n v="89.6"/>
    <x v="1"/>
  </r>
  <r>
    <n v="299"/>
    <x v="0"/>
    <n v="1.7"/>
    <n v="73.2"/>
    <n v="7.2"/>
    <s v="Masters"/>
    <s v="No"/>
    <x v="0"/>
    <s v="No"/>
    <n v="67.900000000000006"/>
    <n v="69.2"/>
    <x v="2"/>
  </r>
  <r>
    <n v="300"/>
    <x v="1"/>
    <n v="4.5999999999999996"/>
    <n v="96.9"/>
    <n v="7.2"/>
    <s v="Masters"/>
    <s v="Yes"/>
    <x v="1"/>
    <s v="Yes"/>
    <n v="64.8"/>
    <n v="82.3"/>
    <x v="1"/>
  </r>
  <r>
    <n v="301"/>
    <x v="0"/>
    <n v="3.1"/>
    <n v="80.400000000000006"/>
    <n v="7.4"/>
    <s v="Bachelors"/>
    <s v="Yes"/>
    <x v="0"/>
    <s v="Yes"/>
    <n v="75.3"/>
    <n v="80.900000000000006"/>
    <x v="1"/>
  </r>
  <r>
    <n v="302"/>
    <x v="0"/>
    <n v="2.9"/>
    <n v="87"/>
    <n v="5"/>
    <s v="High School"/>
    <s v="Yes"/>
    <x v="0"/>
    <s v="No"/>
    <n v="61"/>
    <n v="82.4"/>
    <x v="1"/>
  </r>
  <r>
    <n v="303"/>
    <x v="0"/>
    <n v="4.5999999999999996"/>
    <n v="87.8"/>
    <n v="7.7"/>
    <s v="Bachelors"/>
    <s v="Yes"/>
    <x v="0"/>
    <s v="No"/>
    <n v="56.2"/>
    <n v="91"/>
    <x v="0"/>
  </r>
  <r>
    <n v="304"/>
    <x v="1"/>
    <n v="4.2"/>
    <n v="82.4"/>
    <n v="7.5"/>
    <s v="High School"/>
    <s v="No"/>
    <x v="1"/>
    <s v="No"/>
    <n v="71.3"/>
    <n v="81.599999999999994"/>
    <x v="1"/>
  </r>
  <r>
    <n v="305"/>
    <x v="1"/>
    <n v="3"/>
    <n v="90.9"/>
    <n v="5.6"/>
    <s v="Bachelors"/>
    <s v="Yes"/>
    <x v="1"/>
    <s v="Yes"/>
    <n v="74.599999999999994"/>
    <n v="83.2"/>
    <x v="1"/>
  </r>
  <r>
    <n v="306"/>
    <x v="0"/>
    <n v="5.2"/>
    <n v="80.3"/>
    <n v="6.5"/>
    <s v="Bachelors"/>
    <s v="Yes"/>
    <x v="0"/>
    <s v="No"/>
    <n v="55.9"/>
    <n v="80.7"/>
    <x v="1"/>
  </r>
  <r>
    <n v="307"/>
    <x v="1"/>
    <n v="1.9"/>
    <n v="93.7"/>
    <n v="6.8"/>
    <s v="Masters"/>
    <s v="Yes"/>
    <x v="0"/>
    <s v="Yes"/>
    <n v="81.099999999999994"/>
    <n v="87.2"/>
    <x v="1"/>
  </r>
  <r>
    <n v="308"/>
    <x v="1"/>
    <n v="4.4000000000000004"/>
    <n v="71.5"/>
    <n v="6.6"/>
    <s v="High School"/>
    <s v="Yes"/>
    <x v="0"/>
    <s v="Yes"/>
    <n v="48.8"/>
    <n v="72.8"/>
    <x v="3"/>
  </r>
  <r>
    <n v="309"/>
    <x v="1"/>
    <n v="4.4000000000000004"/>
    <n v="86.3"/>
    <n v="7.2"/>
    <s v="Bachelors"/>
    <s v="Yes"/>
    <x v="1"/>
    <s v="No"/>
    <n v="63.1"/>
    <n v="85.2"/>
    <x v="1"/>
  </r>
  <r>
    <n v="310"/>
    <x v="1"/>
    <n v="3"/>
    <n v="100"/>
    <n v="8.5"/>
    <s v="High School"/>
    <s v="Yes"/>
    <x v="1"/>
    <s v="Yes"/>
    <n v="66.900000000000006"/>
    <n v="83.3"/>
    <x v="1"/>
  </r>
  <r>
    <n v="311"/>
    <x v="1"/>
    <n v="4"/>
    <n v="75"/>
    <n v="8.1"/>
    <s v="High School"/>
    <s v="Yes"/>
    <x v="0"/>
    <s v="No"/>
    <n v="62.4"/>
    <n v="82.6"/>
    <x v="1"/>
  </r>
  <r>
    <n v="312"/>
    <x v="0"/>
    <n v="1.6"/>
    <n v="78.2"/>
    <n v="5.2"/>
    <s v="Masters"/>
    <s v="Yes"/>
    <x v="1"/>
    <s v="Yes"/>
    <n v="63.2"/>
    <n v="63.4"/>
    <x v="2"/>
  </r>
  <r>
    <n v="313"/>
    <x v="1"/>
    <n v="4.9000000000000004"/>
    <n v="90.1"/>
    <n v="7.5"/>
    <s v="None"/>
    <s v="Yes"/>
    <x v="0"/>
    <s v="No"/>
    <n v="92.5"/>
    <n v="100"/>
    <x v="0"/>
  </r>
  <r>
    <n v="314"/>
    <x v="0"/>
    <n v="3.2"/>
    <n v="86.8"/>
    <n v="8.4"/>
    <s v="Bachelors"/>
    <s v="Yes"/>
    <x v="1"/>
    <s v="No"/>
    <n v="59.8"/>
    <n v="79.400000000000006"/>
    <x v="3"/>
  </r>
  <r>
    <n v="315"/>
    <x v="0"/>
    <n v="2.7"/>
    <n v="88.5"/>
    <n v="7.3"/>
    <s v="Masters"/>
    <s v="Yes"/>
    <x v="0"/>
    <s v="No"/>
    <n v="99.3"/>
    <n v="100"/>
    <x v="0"/>
  </r>
  <r>
    <n v="316"/>
    <x v="1"/>
    <n v="5.0999999999999996"/>
    <n v="89.9"/>
    <n v="8.1"/>
    <s v="PhD"/>
    <s v="Yes"/>
    <x v="0"/>
    <s v="No"/>
    <n v="75.2"/>
    <n v="100"/>
    <x v="0"/>
  </r>
  <r>
    <n v="317"/>
    <x v="0"/>
    <n v="2.4"/>
    <n v="91.3"/>
    <n v="9.1999999999999993"/>
    <s v="Masters"/>
    <s v="No"/>
    <x v="0"/>
    <s v="Yes"/>
    <n v="71.099999999999994"/>
    <n v="72.900000000000006"/>
    <x v="3"/>
  </r>
  <r>
    <n v="318"/>
    <x v="0"/>
    <n v="1.4"/>
    <n v="96.1"/>
    <n v="8"/>
    <s v="High School"/>
    <s v="No"/>
    <x v="0"/>
    <s v="No"/>
    <n v="75.7"/>
    <n v="79.2"/>
    <x v="3"/>
  </r>
  <r>
    <n v="319"/>
    <x v="0"/>
    <n v="1.2"/>
    <n v="89.1"/>
    <n v="7.1"/>
    <s v="None"/>
    <s v="Yes"/>
    <x v="1"/>
    <s v="No"/>
    <n v="100"/>
    <n v="84.2"/>
    <x v="1"/>
  </r>
  <r>
    <n v="320"/>
    <x v="1"/>
    <n v="4.4000000000000004"/>
    <n v="82.6"/>
    <n v="8.1"/>
    <s v="Bachelors"/>
    <s v="Yes"/>
    <x v="0"/>
    <s v="Yes"/>
    <n v="58.1"/>
    <n v="80.7"/>
    <x v="1"/>
  </r>
  <r>
    <n v="321"/>
    <x v="1"/>
    <n v="1.6"/>
    <n v="91.7"/>
    <n v="7"/>
    <s v="High School"/>
    <s v="Yes"/>
    <x v="1"/>
    <s v="No"/>
    <n v="56.6"/>
    <n v="85.3"/>
    <x v="1"/>
  </r>
  <r>
    <n v="322"/>
    <x v="0"/>
    <n v="6.1"/>
    <n v="100"/>
    <n v="6.8"/>
    <s v="High School"/>
    <s v="Yes"/>
    <x v="1"/>
    <s v="Yes"/>
    <n v="60.9"/>
    <n v="93.1"/>
    <x v="0"/>
  </r>
  <r>
    <n v="323"/>
    <x v="1"/>
    <n v="0.5"/>
    <n v="83.7"/>
    <n v="6.4"/>
    <s v="Bachelors"/>
    <s v="Yes"/>
    <x v="0"/>
    <s v="No"/>
    <n v="70.400000000000006"/>
    <n v="73.5"/>
    <x v="3"/>
  </r>
  <r>
    <n v="324"/>
    <x v="1"/>
    <n v="6"/>
    <n v="75.3"/>
    <n v="8.6999999999999993"/>
    <s v="High School"/>
    <s v="Yes"/>
    <x v="0"/>
    <s v="No"/>
    <n v="49.3"/>
    <n v="90.8"/>
    <x v="0"/>
  </r>
  <r>
    <n v="325"/>
    <x v="1"/>
    <n v="3.8"/>
    <n v="96.1"/>
    <n v="5.8"/>
    <s v="High School"/>
    <s v="Yes"/>
    <x v="0"/>
    <s v="Yes"/>
    <n v="70.3"/>
    <n v="80.8"/>
    <x v="1"/>
  </r>
  <r>
    <n v="326"/>
    <x v="1"/>
    <n v="3.4"/>
    <n v="83.8"/>
    <n v="8.6"/>
    <s v="High School"/>
    <s v="Yes"/>
    <x v="1"/>
    <s v="No"/>
    <n v="90.3"/>
    <n v="88.9"/>
    <x v="1"/>
  </r>
  <r>
    <n v="327"/>
    <x v="0"/>
    <n v="2.7"/>
    <n v="63.3"/>
    <n v="7.4"/>
    <s v="Masters"/>
    <s v="No"/>
    <x v="0"/>
    <s v="No"/>
    <n v="71.8"/>
    <n v="63.7"/>
    <x v="2"/>
  </r>
  <r>
    <n v="328"/>
    <x v="0"/>
    <n v="4.0999999999999996"/>
    <n v="93.5"/>
    <n v="5.0999999999999996"/>
    <s v="PhD"/>
    <s v="Yes"/>
    <x v="0"/>
    <s v="No"/>
    <n v="66.5"/>
    <n v="82.6"/>
    <x v="1"/>
  </r>
  <r>
    <n v="329"/>
    <x v="1"/>
    <n v="3.4"/>
    <n v="79.599999999999994"/>
    <n v="7.2"/>
    <s v="High School"/>
    <s v="Yes"/>
    <x v="0"/>
    <s v="No"/>
    <n v="62.6"/>
    <n v="63.7"/>
    <x v="2"/>
  </r>
  <r>
    <n v="330"/>
    <x v="1"/>
    <n v="5.2"/>
    <n v="84.1"/>
    <n v="4.3"/>
    <s v="PhD"/>
    <s v="Yes"/>
    <x v="1"/>
    <s v="No"/>
    <n v="80.8"/>
    <n v="96.6"/>
    <x v="0"/>
  </r>
  <r>
    <n v="331"/>
    <x v="0"/>
    <n v="3.7"/>
    <n v="88.3"/>
    <n v="7.6"/>
    <s v="PhD"/>
    <s v="Yes"/>
    <x v="0"/>
    <s v="No"/>
    <n v="60.1"/>
    <n v="97"/>
    <x v="0"/>
  </r>
  <r>
    <n v="332"/>
    <x v="0"/>
    <n v="3.7"/>
    <n v="86.9"/>
    <n v="7.9"/>
    <s v="Masters"/>
    <s v="No"/>
    <x v="0"/>
    <s v="No"/>
    <n v="92.2"/>
    <n v="93.3"/>
    <x v="0"/>
  </r>
  <r>
    <n v="333"/>
    <x v="1"/>
    <n v="3"/>
    <n v="92.1"/>
    <n v="6.1"/>
    <s v="High School"/>
    <s v="Yes"/>
    <x v="0"/>
    <s v="Yes"/>
    <n v="93.2"/>
    <n v="82.8"/>
    <x v="1"/>
  </r>
  <r>
    <n v="334"/>
    <x v="0"/>
    <n v="3.4"/>
    <n v="80.599999999999994"/>
    <n v="6.9"/>
    <s v="Masters"/>
    <s v="Yes"/>
    <x v="0"/>
    <s v="No"/>
    <n v="73.099999999999994"/>
    <n v="81.2"/>
    <x v="1"/>
  </r>
  <r>
    <n v="335"/>
    <x v="1"/>
    <n v="4"/>
    <n v="90.1"/>
    <n v="9.1"/>
    <s v="None"/>
    <s v="Yes"/>
    <x v="1"/>
    <s v="No"/>
    <n v="69.900000000000006"/>
    <n v="88.7"/>
    <x v="1"/>
  </r>
  <r>
    <n v="336"/>
    <x v="1"/>
    <n v="0.9"/>
    <n v="82.4"/>
    <n v="6.2"/>
    <s v="Masters"/>
    <s v="Yes"/>
    <x v="0"/>
    <s v="No"/>
    <n v="82.4"/>
    <n v="71.2"/>
    <x v="3"/>
  </r>
  <r>
    <n v="337"/>
    <x v="0"/>
    <n v="1.5"/>
    <n v="92.4"/>
    <n v="5.5"/>
    <s v="High School"/>
    <s v="Yes"/>
    <x v="1"/>
    <s v="No"/>
    <n v="83.1"/>
    <n v="87.1"/>
    <x v="1"/>
  </r>
  <r>
    <n v="338"/>
    <x v="0"/>
    <n v="4.5999999999999996"/>
    <n v="91.2"/>
    <n v="8.6"/>
    <s v="Bachelors"/>
    <s v="Yes"/>
    <x v="1"/>
    <s v="No"/>
    <n v="60.3"/>
    <n v="94.9"/>
    <x v="0"/>
  </r>
  <r>
    <n v="339"/>
    <x v="1"/>
    <n v="3.8"/>
    <n v="75.599999999999994"/>
    <n v="9.1999999999999993"/>
    <s v="Bachelors"/>
    <s v="Yes"/>
    <x v="1"/>
    <s v="No"/>
    <n v="63.7"/>
    <n v="76.099999999999994"/>
    <x v="3"/>
  </r>
  <r>
    <n v="340"/>
    <x v="1"/>
    <n v="3.2"/>
    <n v="95.9"/>
    <n v="6.8"/>
    <s v="Bachelors"/>
    <s v="Yes"/>
    <x v="1"/>
    <s v="No"/>
    <n v="54.1"/>
    <n v="85.1"/>
    <x v="1"/>
  </r>
  <r>
    <n v="341"/>
    <x v="0"/>
    <n v="3.5"/>
    <n v="79.599999999999994"/>
    <n v="8"/>
    <s v="High School"/>
    <s v="Yes"/>
    <x v="0"/>
    <s v="No"/>
    <n v="74.900000000000006"/>
    <n v="96.3"/>
    <x v="0"/>
  </r>
  <r>
    <n v="342"/>
    <x v="1"/>
    <n v="4"/>
    <n v="93.1"/>
    <n v="8.4"/>
    <s v="High School"/>
    <s v="Yes"/>
    <x v="0"/>
    <s v="No"/>
    <n v="78"/>
    <n v="100"/>
    <x v="0"/>
  </r>
  <r>
    <n v="343"/>
    <x v="0"/>
    <n v="2.7"/>
    <n v="88.7"/>
    <n v="5.9"/>
    <s v="Masters"/>
    <s v="Yes"/>
    <x v="1"/>
    <s v="No"/>
    <n v="53.8"/>
    <n v="92"/>
    <x v="0"/>
  </r>
  <r>
    <n v="344"/>
    <x v="1"/>
    <n v="2.2999999999999998"/>
    <n v="100"/>
    <n v="6.2"/>
    <s v="PhD"/>
    <s v="Yes"/>
    <x v="0"/>
    <s v="No"/>
    <n v="64.5"/>
    <n v="77.2"/>
    <x v="3"/>
  </r>
  <r>
    <n v="345"/>
    <x v="0"/>
    <n v="3.8"/>
    <n v="82.8"/>
    <n v="8.3000000000000007"/>
    <s v="High School"/>
    <s v="Yes"/>
    <x v="1"/>
    <s v="No"/>
    <n v="53.8"/>
    <n v="97.5"/>
    <x v="0"/>
  </r>
  <r>
    <n v="346"/>
    <x v="0"/>
    <n v="2"/>
    <n v="81.5"/>
    <n v="8.8000000000000007"/>
    <s v="None"/>
    <s v="Yes"/>
    <x v="0"/>
    <s v="Yes"/>
    <n v="59.2"/>
    <n v="70.599999999999994"/>
    <x v="3"/>
  </r>
  <r>
    <n v="347"/>
    <x v="0"/>
    <n v="4.0999999999999996"/>
    <n v="84.8"/>
    <n v="7.5"/>
    <s v="High School"/>
    <s v="Yes"/>
    <x v="1"/>
    <s v="No"/>
    <n v="76.599999999999994"/>
    <n v="87.2"/>
    <x v="1"/>
  </r>
  <r>
    <n v="348"/>
    <x v="1"/>
    <n v="0.9"/>
    <n v="82"/>
    <n v="5.7"/>
    <s v="Masters"/>
    <s v="Yes"/>
    <x v="1"/>
    <s v="No"/>
    <n v="61.2"/>
    <n v="69"/>
    <x v="2"/>
  </r>
  <r>
    <n v="349"/>
    <x v="1"/>
    <n v="5"/>
    <n v="93"/>
    <n v="9.1999999999999993"/>
    <s v="Masters"/>
    <s v="Yes"/>
    <x v="0"/>
    <s v="Yes"/>
    <n v="66.400000000000006"/>
    <n v="90.2"/>
    <x v="0"/>
  </r>
  <r>
    <n v="350"/>
    <x v="0"/>
    <n v="4.2"/>
    <n v="68.8"/>
    <n v="6.2"/>
    <s v="Masters"/>
    <s v="Yes"/>
    <x v="0"/>
    <s v="Yes"/>
    <n v="50.5"/>
    <n v="74"/>
    <x v="3"/>
  </r>
  <r>
    <n v="351"/>
    <x v="1"/>
    <n v="3.9"/>
    <n v="74.5"/>
    <n v="6.4"/>
    <s v="None"/>
    <s v="Yes"/>
    <x v="1"/>
    <s v="No"/>
    <n v="72.2"/>
    <n v="75.3"/>
    <x v="3"/>
  </r>
  <r>
    <n v="352"/>
    <x v="0"/>
    <n v="5"/>
    <n v="74.3"/>
    <n v="7.2"/>
    <s v="High School"/>
    <s v="Yes"/>
    <x v="1"/>
    <s v="No"/>
    <n v="69.5"/>
    <n v="86.5"/>
    <x v="1"/>
  </r>
  <r>
    <n v="353"/>
    <x v="0"/>
    <n v="6"/>
    <n v="94.5"/>
    <n v="8.6999999999999993"/>
    <s v="PhD"/>
    <s v="Yes"/>
    <x v="0"/>
    <s v="No"/>
    <n v="61.3"/>
    <n v="100"/>
    <x v="0"/>
  </r>
  <r>
    <n v="354"/>
    <x v="1"/>
    <n v="5"/>
    <n v="100"/>
    <n v="7.8"/>
    <s v="High School"/>
    <s v="Yes"/>
    <x v="1"/>
    <s v="Yes"/>
    <n v="67.7"/>
    <n v="93.6"/>
    <x v="0"/>
  </r>
  <r>
    <n v="355"/>
    <x v="1"/>
    <n v="0.7"/>
    <n v="84"/>
    <n v="7.3"/>
    <s v="Masters"/>
    <s v="Yes"/>
    <x v="0"/>
    <s v="Yes"/>
    <n v="72.2"/>
    <n v="72"/>
    <x v="3"/>
  </r>
  <r>
    <n v="356"/>
    <x v="0"/>
    <n v="1.6"/>
    <n v="83.3"/>
    <n v="7.4"/>
    <s v="Masters"/>
    <s v="Yes"/>
    <x v="0"/>
    <s v="No"/>
    <n v="60.2"/>
    <n v="76.2"/>
    <x v="3"/>
  </r>
  <r>
    <n v="357"/>
    <x v="1"/>
    <n v="2.6"/>
    <n v="85.7"/>
    <n v="6.9"/>
    <s v="Masters"/>
    <s v="Yes"/>
    <x v="1"/>
    <s v="No"/>
    <n v="52.3"/>
    <n v="80.900000000000006"/>
    <x v="1"/>
  </r>
  <r>
    <n v="358"/>
    <x v="1"/>
    <n v="3.5"/>
    <n v="96.6"/>
    <n v="7.5"/>
    <s v="High School"/>
    <s v="Yes"/>
    <x v="1"/>
    <s v="Yes"/>
    <n v="91.7"/>
    <n v="85.3"/>
    <x v="1"/>
  </r>
  <r>
    <n v="359"/>
    <x v="0"/>
    <n v="4.3"/>
    <n v="75.7"/>
    <n v="3.8"/>
    <s v="PhD"/>
    <s v="Yes"/>
    <x v="1"/>
    <s v="No"/>
    <n v="62.4"/>
    <n v="81.900000000000006"/>
    <x v="1"/>
  </r>
  <r>
    <n v="360"/>
    <x v="0"/>
    <n v="2.4"/>
    <n v="87.4"/>
    <n v="6.4"/>
    <s v="High School"/>
    <s v="Yes"/>
    <x v="1"/>
    <s v="No"/>
    <n v="68.8"/>
    <n v="78"/>
    <x v="3"/>
  </r>
  <r>
    <n v="361"/>
    <x v="1"/>
    <n v="3.8"/>
    <n v="94.8"/>
    <n v="7.1"/>
    <s v="High School"/>
    <s v="Yes"/>
    <x v="0"/>
    <s v="Yes"/>
    <n v="82.1"/>
    <n v="93.6"/>
    <x v="0"/>
  </r>
  <r>
    <n v="362"/>
    <x v="0"/>
    <n v="2.4"/>
    <n v="90"/>
    <n v="5.4"/>
    <s v="Masters"/>
    <s v="Yes"/>
    <x v="1"/>
    <s v="Yes"/>
    <n v="100"/>
    <n v="95.1"/>
    <x v="0"/>
  </r>
  <r>
    <n v="363"/>
    <x v="0"/>
    <n v="2.6"/>
    <n v="86.9"/>
    <n v="7.3"/>
    <s v="Bachelors"/>
    <s v="Yes"/>
    <x v="0"/>
    <s v="Yes"/>
    <n v="55.1"/>
    <n v="66.7"/>
    <x v="2"/>
  </r>
  <r>
    <n v="364"/>
    <x v="1"/>
    <n v="1.4"/>
    <n v="95"/>
    <n v="6.6"/>
    <s v="Masters"/>
    <s v="Yes"/>
    <x v="0"/>
    <s v="No"/>
    <n v="75.400000000000006"/>
    <n v="75.599999999999994"/>
    <x v="3"/>
  </r>
  <r>
    <n v="365"/>
    <x v="0"/>
    <n v="2.1"/>
    <n v="58"/>
    <n v="8.9"/>
    <s v="Bachelors"/>
    <s v="Yes"/>
    <x v="0"/>
    <s v="No"/>
    <n v="61.5"/>
    <n v="57.4"/>
    <x v="4"/>
  </r>
  <r>
    <n v="366"/>
    <x v="0"/>
    <n v="1.5"/>
    <n v="91.8"/>
    <n v="8.6999999999999993"/>
    <s v="High School"/>
    <s v="Yes"/>
    <x v="0"/>
    <s v="No"/>
    <n v="63.5"/>
    <n v="75.400000000000006"/>
    <x v="3"/>
  </r>
  <r>
    <n v="367"/>
    <x v="1"/>
    <n v="2"/>
    <n v="78.5"/>
    <n v="6.2"/>
    <s v="Masters"/>
    <s v="Yes"/>
    <x v="0"/>
    <s v="No"/>
    <n v="61.4"/>
    <n v="80.5"/>
    <x v="1"/>
  </r>
  <r>
    <n v="368"/>
    <x v="1"/>
    <n v="5.0999999999999996"/>
    <n v="66.7"/>
    <n v="6.6"/>
    <s v="Bachelors"/>
    <s v="No"/>
    <x v="0"/>
    <s v="No"/>
    <n v="56.5"/>
    <n v="75.099999999999994"/>
    <x v="3"/>
  </r>
  <r>
    <n v="369"/>
    <x v="0"/>
    <n v="2.1"/>
    <n v="90.1"/>
    <n v="6.7"/>
    <s v="High School"/>
    <s v="No"/>
    <x v="0"/>
    <s v="No"/>
    <n v="69.5"/>
    <n v="67.8"/>
    <x v="2"/>
  </r>
  <r>
    <n v="370"/>
    <x v="0"/>
    <n v="7.4"/>
    <n v="98.7"/>
    <n v="6.3"/>
    <s v="Masters"/>
    <s v="Yes"/>
    <x v="0"/>
    <s v="No"/>
    <n v="52.3"/>
    <n v="97.4"/>
    <x v="0"/>
  </r>
  <r>
    <n v="371"/>
    <x v="1"/>
    <n v="4.2"/>
    <n v="83.6"/>
    <n v="7"/>
    <s v="Bachelors"/>
    <s v="Yes"/>
    <x v="1"/>
    <s v="Yes"/>
    <n v="81.400000000000006"/>
    <n v="80.2"/>
    <x v="1"/>
  </r>
  <r>
    <n v="372"/>
    <x v="1"/>
    <n v="3.8"/>
    <n v="94.5"/>
    <n v="5.9"/>
    <s v="Bachelors"/>
    <s v="Yes"/>
    <x v="0"/>
    <s v="No"/>
    <n v="70.7"/>
    <n v="82.8"/>
    <x v="1"/>
  </r>
  <r>
    <n v="373"/>
    <x v="1"/>
    <n v="2.2000000000000002"/>
    <n v="100"/>
    <n v="5.4"/>
    <s v="Bachelors"/>
    <s v="Yes"/>
    <x v="0"/>
    <s v="No"/>
    <n v="75.099999999999994"/>
    <n v="87.8"/>
    <x v="1"/>
  </r>
  <r>
    <n v="374"/>
    <x v="1"/>
    <n v="4.5999999999999996"/>
    <n v="98.1"/>
    <n v="7.5"/>
    <s v="Masters"/>
    <s v="Yes"/>
    <x v="1"/>
    <s v="No"/>
    <n v="64.400000000000006"/>
    <n v="85.8"/>
    <x v="1"/>
  </r>
  <r>
    <n v="375"/>
    <x v="0"/>
    <n v="2.6"/>
    <n v="100"/>
    <n v="7.6"/>
    <s v="Masters"/>
    <s v="Yes"/>
    <x v="1"/>
    <s v="No"/>
    <n v="65.599999999999994"/>
    <n v="91.7"/>
    <x v="0"/>
  </r>
  <r>
    <n v="376"/>
    <x v="1"/>
    <n v="3.7"/>
    <n v="92.4"/>
    <n v="5.8"/>
    <s v="Masters"/>
    <s v="Yes"/>
    <x v="1"/>
    <s v="Yes"/>
    <n v="73.5"/>
    <n v="84.9"/>
    <x v="1"/>
  </r>
  <r>
    <n v="377"/>
    <x v="1"/>
    <n v="7.3"/>
    <n v="85.8"/>
    <n v="7.9"/>
    <s v="High School"/>
    <s v="Yes"/>
    <x v="0"/>
    <s v="No"/>
    <n v="56"/>
    <n v="99.3"/>
    <x v="0"/>
  </r>
  <r>
    <n v="378"/>
    <x v="0"/>
    <n v="3.4"/>
    <n v="69"/>
    <n v="6"/>
    <s v="Masters"/>
    <s v="Yes"/>
    <x v="1"/>
    <s v="No"/>
    <n v="65.7"/>
    <n v="74.3"/>
    <x v="3"/>
  </r>
  <r>
    <n v="379"/>
    <x v="1"/>
    <n v="5.2"/>
    <n v="82.5"/>
    <n v="7.1"/>
    <s v="Masters"/>
    <s v="Yes"/>
    <x v="0"/>
    <s v="No"/>
    <n v="59.7"/>
    <n v="93.3"/>
    <x v="0"/>
  </r>
  <r>
    <n v="380"/>
    <x v="0"/>
    <n v="2.4"/>
    <n v="76.599999999999994"/>
    <n v="7.8"/>
    <s v="Masters"/>
    <s v="Yes"/>
    <x v="0"/>
    <s v="No"/>
    <n v="59.3"/>
    <n v="79.400000000000006"/>
    <x v="3"/>
  </r>
  <r>
    <n v="381"/>
    <x v="1"/>
    <n v="3.4"/>
    <n v="100"/>
    <n v="6.8"/>
    <s v="Bachelors"/>
    <s v="No"/>
    <x v="0"/>
    <s v="No"/>
    <n v="44.7"/>
    <n v="77.400000000000006"/>
    <x v="3"/>
  </r>
  <r>
    <n v="382"/>
    <x v="1"/>
    <n v="6.2"/>
    <n v="83.2"/>
    <n v="7.3"/>
    <s v="PhD"/>
    <s v="Yes"/>
    <x v="1"/>
    <s v="No"/>
    <n v="86.1"/>
    <n v="100"/>
    <x v="0"/>
  </r>
  <r>
    <n v="383"/>
    <x v="1"/>
    <n v="2.6"/>
    <n v="86.2"/>
    <n v="6.2"/>
    <s v="Masters"/>
    <s v="Yes"/>
    <x v="0"/>
    <s v="No"/>
    <n v="61.8"/>
    <n v="76.8"/>
    <x v="3"/>
  </r>
  <r>
    <n v="384"/>
    <x v="0"/>
    <n v="6.2"/>
    <n v="90.5"/>
    <n v="6.6"/>
    <s v="High School"/>
    <s v="Yes"/>
    <x v="0"/>
    <s v="No"/>
    <n v="84"/>
    <n v="100"/>
    <x v="0"/>
  </r>
  <r>
    <n v="385"/>
    <x v="0"/>
    <n v="4.5999999999999996"/>
    <n v="85.4"/>
    <n v="6.6"/>
    <s v="Bachelors"/>
    <s v="No"/>
    <x v="0"/>
    <s v="No"/>
    <n v="82.8"/>
    <n v="88.6"/>
    <x v="1"/>
  </r>
  <r>
    <n v="386"/>
    <x v="1"/>
    <n v="2.7"/>
    <n v="100"/>
    <n v="5.9"/>
    <s v="PhD"/>
    <s v="Yes"/>
    <x v="1"/>
    <s v="No"/>
    <n v="54.6"/>
    <n v="79.099999999999994"/>
    <x v="3"/>
  </r>
  <r>
    <n v="387"/>
    <x v="0"/>
    <n v="4.4000000000000004"/>
    <n v="78.8"/>
    <n v="6.6"/>
    <s v="High School"/>
    <s v="Yes"/>
    <x v="1"/>
    <s v="No"/>
    <n v="56.9"/>
    <n v="79.400000000000006"/>
    <x v="3"/>
  </r>
  <r>
    <n v="388"/>
    <x v="0"/>
    <n v="5"/>
    <n v="86.9"/>
    <n v="4.9000000000000004"/>
    <s v="None"/>
    <s v="Yes"/>
    <x v="0"/>
    <s v="No"/>
    <n v="100"/>
    <n v="100"/>
    <x v="0"/>
  </r>
  <r>
    <n v="389"/>
    <x v="0"/>
    <n v="4.4000000000000004"/>
    <n v="77.599999999999994"/>
    <n v="6.2"/>
    <s v="Masters"/>
    <s v="Yes"/>
    <x v="1"/>
    <s v="Yes"/>
    <n v="91"/>
    <n v="86.7"/>
    <x v="1"/>
  </r>
  <r>
    <n v="390"/>
    <x v="0"/>
    <n v="1.1000000000000001"/>
    <n v="71.8"/>
    <n v="6.5"/>
    <s v="Bachelors"/>
    <s v="Yes"/>
    <x v="0"/>
    <s v="Yes"/>
    <n v="69.599999999999994"/>
    <n v="69.5"/>
    <x v="2"/>
  </r>
  <r>
    <n v="391"/>
    <x v="0"/>
    <n v="2.4"/>
    <n v="78.900000000000006"/>
    <n v="6.5"/>
    <s v="High School"/>
    <s v="Yes"/>
    <x v="1"/>
    <s v="No"/>
    <n v="73.099999999999994"/>
    <n v="86.3"/>
    <x v="1"/>
  </r>
  <r>
    <n v="392"/>
    <x v="0"/>
    <n v="3.1"/>
    <n v="84.6"/>
    <n v="6.5"/>
    <s v="High School"/>
    <s v="Yes"/>
    <x v="0"/>
    <s v="No"/>
    <n v="62.4"/>
    <n v="87.3"/>
    <x v="1"/>
  </r>
  <r>
    <n v="393"/>
    <x v="1"/>
    <n v="3.4"/>
    <n v="80.7"/>
    <n v="6.7"/>
    <s v="None"/>
    <s v="No"/>
    <x v="1"/>
    <s v="No"/>
    <n v="75.2"/>
    <n v="72.099999999999994"/>
    <x v="3"/>
  </r>
  <r>
    <n v="394"/>
    <x v="1"/>
    <n v="4.4000000000000004"/>
    <n v="78.099999999999994"/>
    <n v="7.4"/>
    <s v="High School"/>
    <s v="Yes"/>
    <x v="0"/>
    <s v="No"/>
    <n v="61.4"/>
    <n v="92.3"/>
    <x v="0"/>
  </r>
  <r>
    <n v="395"/>
    <x v="0"/>
    <n v="3.8"/>
    <n v="70.900000000000006"/>
    <n v="7.8"/>
    <s v="Masters"/>
    <s v="Yes"/>
    <x v="1"/>
    <s v="Yes"/>
    <n v="45.6"/>
    <n v="67.599999999999994"/>
    <x v="2"/>
  </r>
  <r>
    <n v="396"/>
    <x v="1"/>
    <n v="1.5"/>
    <n v="84.2"/>
    <n v="6"/>
    <s v="Bachelors"/>
    <s v="Yes"/>
    <x v="0"/>
    <s v="No"/>
    <n v="54.1"/>
    <n v="72.7"/>
    <x v="3"/>
  </r>
  <r>
    <n v="397"/>
    <x v="1"/>
    <n v="4.0999999999999996"/>
    <n v="70"/>
    <n v="5.4"/>
    <s v="High School"/>
    <s v="Yes"/>
    <x v="0"/>
    <s v="No"/>
    <n v="70.3"/>
    <n v="76.099999999999994"/>
    <x v="3"/>
  </r>
  <r>
    <n v="398"/>
    <x v="1"/>
    <n v="4.4000000000000004"/>
    <n v="92.6"/>
    <n v="5.5"/>
    <s v="High School"/>
    <s v="No"/>
    <x v="0"/>
    <s v="No"/>
    <n v="56.4"/>
    <n v="81.2"/>
    <x v="1"/>
  </r>
  <r>
    <n v="399"/>
    <x v="1"/>
    <n v="4.3"/>
    <n v="85.8"/>
    <n v="6.2"/>
    <s v="Bachelors"/>
    <s v="Yes"/>
    <x v="0"/>
    <s v="No"/>
    <n v="69.2"/>
    <n v="90.4"/>
    <x v="0"/>
  </r>
  <r>
    <n v="400"/>
    <x v="0"/>
    <n v="5.0999999999999996"/>
    <n v="70.400000000000006"/>
    <n v="6.4"/>
    <s v="None"/>
    <s v="Yes"/>
    <x v="0"/>
    <s v="No"/>
    <n v="57.1"/>
    <n v="73.2"/>
    <x v="3"/>
  </r>
  <r>
    <n v="401"/>
    <x v="1"/>
    <n v="4.8"/>
    <n v="81.900000000000006"/>
    <n v="5.9"/>
    <s v="Bachelors"/>
    <s v="Yes"/>
    <x v="1"/>
    <s v="Yes"/>
    <n v="60.6"/>
    <n v="85.2"/>
    <x v="1"/>
  </r>
  <r>
    <n v="402"/>
    <x v="1"/>
    <n v="4.2"/>
    <n v="77.5"/>
    <n v="5.2"/>
    <s v="Bachelors"/>
    <s v="Yes"/>
    <x v="0"/>
    <s v="No"/>
    <n v="80.2"/>
    <n v="96.4"/>
    <x v="0"/>
  </r>
  <r>
    <n v="403"/>
    <x v="0"/>
    <n v="3.4"/>
    <n v="88.2"/>
    <n v="6.3"/>
    <s v="High School"/>
    <s v="Yes"/>
    <x v="1"/>
    <s v="Yes"/>
    <n v="73"/>
    <n v="81.900000000000006"/>
    <x v="1"/>
  </r>
  <r>
    <n v="404"/>
    <x v="0"/>
    <n v="1"/>
    <n v="98.4"/>
    <n v="7"/>
    <s v="Bachelors"/>
    <s v="Yes"/>
    <x v="1"/>
    <s v="No"/>
    <n v="69.900000000000006"/>
    <n v="86.5"/>
    <x v="1"/>
  </r>
  <r>
    <n v="405"/>
    <x v="1"/>
    <n v="4.0999999999999996"/>
    <n v="66.2"/>
    <n v="7.5"/>
    <s v="Bachelors"/>
    <s v="Yes"/>
    <x v="1"/>
    <s v="No"/>
    <n v="80.5"/>
    <n v="84.7"/>
    <x v="1"/>
  </r>
  <r>
    <n v="406"/>
    <x v="1"/>
    <n v="3.8"/>
    <n v="86.2"/>
    <n v="6.1"/>
    <s v="PhD"/>
    <s v="Yes"/>
    <x v="1"/>
    <s v="No"/>
    <n v="75.8"/>
    <n v="93"/>
    <x v="0"/>
  </r>
  <r>
    <n v="407"/>
    <x v="1"/>
    <n v="3.9"/>
    <n v="83.4"/>
    <n v="6.3"/>
    <s v="Bachelors"/>
    <s v="Yes"/>
    <x v="1"/>
    <s v="No"/>
    <n v="87.4"/>
    <n v="78.900000000000006"/>
    <x v="3"/>
  </r>
  <r>
    <n v="408"/>
    <x v="1"/>
    <n v="1.6"/>
    <n v="91.7"/>
    <n v="5.7"/>
    <s v="Bachelors"/>
    <s v="Yes"/>
    <x v="0"/>
    <s v="No"/>
    <n v="64.5"/>
    <n v="90.4"/>
    <x v="0"/>
  </r>
  <r>
    <n v="409"/>
    <x v="1"/>
    <n v="1.9"/>
    <n v="87.1"/>
    <n v="6.8"/>
    <s v="High School"/>
    <s v="No"/>
    <x v="1"/>
    <s v="No"/>
    <n v="64.8"/>
    <n v="80.099999999999994"/>
    <x v="1"/>
  </r>
  <r>
    <n v="410"/>
    <x v="1"/>
    <n v="5.0999999999999996"/>
    <n v="77.5"/>
    <n v="5.8"/>
    <s v="None"/>
    <s v="Yes"/>
    <x v="0"/>
    <s v="Yes"/>
    <n v="54.4"/>
    <n v="78.099999999999994"/>
    <x v="3"/>
  </r>
  <r>
    <n v="411"/>
    <x v="0"/>
    <n v="3.4"/>
    <n v="81.8"/>
    <n v="7.5"/>
    <s v="High School"/>
    <s v="Yes"/>
    <x v="1"/>
    <s v="No"/>
    <n v="64.900000000000006"/>
    <n v="70.099999999999994"/>
    <x v="3"/>
  </r>
  <r>
    <n v="412"/>
    <x v="1"/>
    <n v="4.5"/>
    <n v="77"/>
    <n v="4.7"/>
    <s v="High School"/>
    <s v="Yes"/>
    <x v="1"/>
    <s v="No"/>
    <n v="81.599999999999994"/>
    <n v="90.2"/>
    <x v="0"/>
  </r>
  <r>
    <n v="413"/>
    <x v="1"/>
    <n v="3.5"/>
    <n v="95.8"/>
    <n v="6.4"/>
    <s v="Masters"/>
    <s v="Yes"/>
    <x v="0"/>
    <s v="No"/>
    <n v="85.6"/>
    <n v="86.5"/>
    <x v="1"/>
  </r>
  <r>
    <n v="414"/>
    <x v="0"/>
    <n v="3.5"/>
    <n v="85.2"/>
    <n v="7.2"/>
    <s v="Bachelors"/>
    <s v="Yes"/>
    <x v="0"/>
    <s v="No"/>
    <n v="81.5"/>
    <n v="93.5"/>
    <x v="0"/>
  </r>
  <r>
    <n v="415"/>
    <x v="0"/>
    <n v="4.9000000000000004"/>
    <n v="100"/>
    <n v="7"/>
    <s v="Bachelors"/>
    <s v="No"/>
    <x v="0"/>
    <s v="Yes"/>
    <n v="48.5"/>
    <n v="83.3"/>
    <x v="1"/>
  </r>
  <r>
    <n v="416"/>
    <x v="0"/>
    <n v="2.7"/>
    <n v="84.4"/>
    <n v="10"/>
    <s v="Bachelors"/>
    <s v="Yes"/>
    <x v="1"/>
    <s v="Yes"/>
    <n v="83"/>
    <n v="81.2"/>
    <x v="1"/>
  </r>
  <r>
    <n v="417"/>
    <x v="0"/>
    <n v="3.6"/>
    <n v="77.900000000000006"/>
    <n v="7.2"/>
    <s v="Masters"/>
    <s v="No"/>
    <x v="1"/>
    <s v="No"/>
    <n v="47.9"/>
    <n v="76"/>
    <x v="3"/>
  </r>
  <r>
    <n v="418"/>
    <x v="1"/>
    <n v="2.8"/>
    <n v="69.900000000000006"/>
    <n v="5.6"/>
    <s v="High School"/>
    <s v="Yes"/>
    <x v="0"/>
    <s v="No"/>
    <n v="80.8"/>
    <n v="84.9"/>
    <x v="1"/>
  </r>
  <r>
    <n v="419"/>
    <x v="1"/>
    <n v="2.8"/>
    <n v="67"/>
    <n v="6.7"/>
    <s v="Masters"/>
    <s v="Yes"/>
    <x v="1"/>
    <s v="No"/>
    <n v="65.599999999999994"/>
    <n v="79.2"/>
    <x v="3"/>
  </r>
  <r>
    <n v="420"/>
    <x v="1"/>
    <n v="3"/>
    <n v="69.2"/>
    <n v="4.7"/>
    <s v="Bachelors"/>
    <s v="No"/>
    <x v="1"/>
    <s v="No"/>
    <n v="78.400000000000006"/>
    <n v="72.8"/>
    <x v="3"/>
  </r>
  <r>
    <n v="421"/>
    <x v="1"/>
    <n v="3.8"/>
    <n v="87.7"/>
    <n v="6.7"/>
    <s v="Bachelors"/>
    <s v="Yes"/>
    <x v="0"/>
    <s v="Yes"/>
    <n v="54"/>
    <n v="69.900000000000006"/>
    <x v="2"/>
  </r>
  <r>
    <n v="422"/>
    <x v="1"/>
    <n v="2.8"/>
    <n v="90.1"/>
    <n v="5.8"/>
    <s v="Bachelors"/>
    <s v="No"/>
    <x v="0"/>
    <s v="No"/>
    <n v="84.1"/>
    <n v="89.6"/>
    <x v="1"/>
  </r>
  <r>
    <n v="423"/>
    <x v="1"/>
    <n v="5.4"/>
    <n v="69.2"/>
    <n v="7.9"/>
    <s v="High School"/>
    <s v="Yes"/>
    <x v="1"/>
    <s v="Yes"/>
    <n v="52.4"/>
    <n v="77.3"/>
    <x v="3"/>
  </r>
  <r>
    <n v="424"/>
    <x v="0"/>
    <n v="2.2000000000000002"/>
    <n v="94"/>
    <n v="6.1"/>
    <s v="Masters"/>
    <s v="No"/>
    <x v="1"/>
    <s v="No"/>
    <n v="62"/>
    <n v="64.599999999999994"/>
    <x v="2"/>
  </r>
  <r>
    <n v="425"/>
    <x v="1"/>
    <n v="3.2"/>
    <n v="80.2"/>
    <n v="6.7"/>
    <s v="Bachelors"/>
    <s v="Yes"/>
    <x v="1"/>
    <s v="Yes"/>
    <n v="58"/>
    <n v="81.8"/>
    <x v="1"/>
  </r>
  <r>
    <n v="426"/>
    <x v="0"/>
    <n v="2.8"/>
    <n v="86.5"/>
    <n v="6"/>
    <s v="High School"/>
    <s v="Yes"/>
    <x v="0"/>
    <s v="No"/>
    <n v="48.9"/>
    <n v="86.2"/>
    <x v="1"/>
  </r>
  <r>
    <n v="427"/>
    <x v="0"/>
    <n v="5.7"/>
    <n v="100"/>
    <n v="8.9"/>
    <s v="Bachelors"/>
    <s v="Yes"/>
    <x v="0"/>
    <s v="Yes"/>
    <n v="71.099999999999994"/>
    <n v="100"/>
    <x v="0"/>
  </r>
  <r>
    <n v="428"/>
    <x v="1"/>
    <n v="3.8"/>
    <n v="94"/>
    <n v="6.4"/>
    <s v="None"/>
    <s v="Yes"/>
    <x v="0"/>
    <s v="No"/>
    <n v="91.7"/>
    <n v="100"/>
    <x v="0"/>
  </r>
  <r>
    <n v="429"/>
    <x v="0"/>
    <n v="5"/>
    <n v="82.3"/>
    <n v="9"/>
    <s v="Bachelors"/>
    <s v="Yes"/>
    <x v="0"/>
    <s v="No"/>
    <n v="100"/>
    <n v="100"/>
    <x v="0"/>
  </r>
  <r>
    <n v="430"/>
    <x v="1"/>
    <n v="1.3"/>
    <n v="76.099999999999994"/>
    <n v="7.8"/>
    <s v="None"/>
    <s v="Yes"/>
    <x v="0"/>
    <s v="No"/>
    <n v="71.2"/>
    <n v="72"/>
    <x v="3"/>
  </r>
  <r>
    <n v="431"/>
    <x v="0"/>
    <n v="3.9"/>
    <n v="63.5"/>
    <n v="7.4"/>
    <s v="High School"/>
    <s v="Yes"/>
    <x v="1"/>
    <s v="No"/>
    <n v="83.4"/>
    <n v="81.2"/>
    <x v="1"/>
  </r>
  <r>
    <n v="432"/>
    <x v="1"/>
    <n v="4.8"/>
    <n v="77.8"/>
    <n v="7.2"/>
    <s v="High School"/>
    <s v="Yes"/>
    <x v="0"/>
    <s v="No"/>
    <n v="72.8"/>
    <n v="100"/>
    <x v="0"/>
  </r>
  <r>
    <n v="433"/>
    <x v="0"/>
    <n v="3.6"/>
    <n v="82.9"/>
    <n v="7.3"/>
    <s v="High School"/>
    <s v="Yes"/>
    <x v="1"/>
    <s v="Yes"/>
    <n v="76"/>
    <n v="79.7"/>
    <x v="3"/>
  </r>
  <r>
    <n v="434"/>
    <x v="1"/>
    <n v="5.0999999999999996"/>
    <n v="75.099999999999994"/>
    <n v="4.5"/>
    <s v="Bachelors"/>
    <s v="Yes"/>
    <x v="0"/>
    <s v="No"/>
    <n v="65.900000000000006"/>
    <n v="89.4"/>
    <x v="1"/>
  </r>
  <r>
    <n v="435"/>
    <x v="1"/>
    <n v="2.7"/>
    <n v="83.7"/>
    <n v="6.5"/>
    <s v="High School"/>
    <s v="Yes"/>
    <x v="1"/>
    <s v="No"/>
    <n v="72.3"/>
    <n v="77.8"/>
    <x v="3"/>
  </r>
  <r>
    <n v="436"/>
    <x v="1"/>
    <n v="5.6"/>
    <n v="85.8"/>
    <n v="7.8"/>
    <s v="High School"/>
    <s v="Yes"/>
    <x v="0"/>
    <s v="Yes"/>
    <n v="76.400000000000006"/>
    <n v="93.4"/>
    <x v="0"/>
  </r>
  <r>
    <n v="437"/>
    <x v="1"/>
    <n v="6.9"/>
    <n v="82.8"/>
    <n v="6.7"/>
    <s v="None"/>
    <s v="Yes"/>
    <x v="0"/>
    <s v="Yes"/>
    <n v="63.1"/>
    <n v="100"/>
    <x v="0"/>
  </r>
  <r>
    <n v="438"/>
    <x v="1"/>
    <n v="3"/>
    <n v="78.5"/>
    <n v="5.0999999999999996"/>
    <s v="Masters"/>
    <s v="Yes"/>
    <x v="0"/>
    <s v="No"/>
    <n v="69.099999999999994"/>
    <n v="76.5"/>
    <x v="3"/>
  </r>
  <r>
    <n v="439"/>
    <x v="0"/>
    <n v="2.8"/>
    <n v="86.7"/>
    <n v="6.7"/>
    <s v="Masters"/>
    <s v="Yes"/>
    <x v="1"/>
    <s v="No"/>
    <n v="69.3"/>
    <n v="79.3"/>
    <x v="3"/>
  </r>
  <r>
    <n v="440"/>
    <x v="0"/>
    <n v="5.7"/>
    <n v="89.4"/>
    <n v="8.8000000000000007"/>
    <s v="High School"/>
    <s v="No"/>
    <x v="1"/>
    <s v="No"/>
    <n v="79.900000000000006"/>
    <n v="100"/>
    <x v="0"/>
  </r>
  <r>
    <n v="441"/>
    <x v="0"/>
    <n v="5.9"/>
    <n v="74.099999999999994"/>
    <n v="8.3000000000000007"/>
    <s v="High School"/>
    <s v="Yes"/>
    <x v="0"/>
    <s v="No"/>
    <n v="57.2"/>
    <n v="98.9"/>
    <x v="0"/>
  </r>
  <r>
    <n v="442"/>
    <x v="1"/>
    <n v="2.7"/>
    <n v="99.1"/>
    <n v="6.7"/>
    <s v="High School"/>
    <s v="Yes"/>
    <x v="0"/>
    <s v="Yes"/>
    <n v="69.400000000000006"/>
    <n v="87.5"/>
    <x v="1"/>
  </r>
  <r>
    <n v="443"/>
    <x v="0"/>
    <n v="2.9"/>
    <n v="84"/>
    <n v="7.9"/>
    <s v="Masters"/>
    <s v="Yes"/>
    <x v="1"/>
    <s v="Yes"/>
    <n v="92.9"/>
    <n v="85.2"/>
    <x v="1"/>
  </r>
  <r>
    <n v="444"/>
    <x v="1"/>
    <n v="3.1"/>
    <n v="85.2"/>
    <n v="6.4"/>
    <s v="None"/>
    <s v="Yes"/>
    <x v="0"/>
    <s v="No"/>
    <n v="84"/>
    <n v="86"/>
    <x v="1"/>
  </r>
  <r>
    <n v="445"/>
    <x v="1"/>
    <n v="1.5"/>
    <n v="92.1"/>
    <n v="4.8"/>
    <s v="Bachelors"/>
    <s v="Yes"/>
    <x v="0"/>
    <s v="Yes"/>
    <n v="86.2"/>
    <n v="80.7"/>
    <x v="1"/>
  </r>
  <r>
    <n v="446"/>
    <x v="0"/>
    <n v="2.1"/>
    <n v="87.3"/>
    <n v="5.7"/>
    <s v="High School"/>
    <s v="Yes"/>
    <x v="1"/>
    <s v="No"/>
    <n v="70.3"/>
    <n v="79.900000000000006"/>
    <x v="3"/>
  </r>
  <r>
    <n v="447"/>
    <x v="0"/>
    <n v="2"/>
    <n v="94.5"/>
    <n v="8.6999999999999993"/>
    <s v="Bachelors"/>
    <s v="Yes"/>
    <x v="1"/>
    <s v="No"/>
    <n v="73.900000000000006"/>
    <n v="79.099999999999994"/>
    <x v="3"/>
  </r>
  <r>
    <n v="448"/>
    <x v="1"/>
    <n v="2.2999999999999998"/>
    <n v="87.9"/>
    <n v="6.5"/>
    <s v="High School"/>
    <s v="Yes"/>
    <x v="0"/>
    <s v="Yes"/>
    <n v="82"/>
    <n v="87.1"/>
    <x v="1"/>
  </r>
  <r>
    <n v="449"/>
    <x v="0"/>
    <n v="3.4"/>
    <n v="78.900000000000006"/>
    <n v="6.5"/>
    <s v="Bachelors"/>
    <s v="Yes"/>
    <x v="0"/>
    <s v="No"/>
    <n v="88.7"/>
    <n v="90.7"/>
    <x v="0"/>
  </r>
  <r>
    <n v="450"/>
    <x v="1"/>
    <n v="3.9"/>
    <n v="88.6"/>
    <n v="6.4"/>
    <s v="Bachelors"/>
    <s v="Yes"/>
    <x v="1"/>
    <s v="Yes"/>
    <n v="46.6"/>
    <n v="64.599999999999994"/>
    <x v="2"/>
  </r>
  <r>
    <n v="451"/>
    <x v="1"/>
    <n v="5.8"/>
    <n v="73.599999999999994"/>
    <n v="9.1"/>
    <s v="Masters"/>
    <s v="No"/>
    <x v="0"/>
    <s v="No"/>
    <n v="54.2"/>
    <n v="77.900000000000006"/>
    <x v="3"/>
  </r>
  <r>
    <n v="452"/>
    <x v="1"/>
    <n v="2"/>
    <n v="86.1"/>
    <n v="8.8000000000000007"/>
    <s v="High School"/>
    <s v="Yes"/>
    <x v="0"/>
    <s v="Yes"/>
    <n v="85.7"/>
    <n v="82"/>
    <x v="1"/>
  </r>
  <r>
    <n v="453"/>
    <x v="1"/>
    <n v="5"/>
    <n v="84.7"/>
    <n v="9.5"/>
    <s v="High School"/>
    <s v="Yes"/>
    <x v="1"/>
    <s v="No"/>
    <n v="66.7"/>
    <n v="92.8"/>
    <x v="0"/>
  </r>
  <r>
    <n v="454"/>
    <x v="1"/>
    <n v="3.2"/>
    <n v="82.9"/>
    <n v="6.6"/>
    <s v="None"/>
    <s v="No"/>
    <x v="1"/>
    <s v="No"/>
    <n v="61.9"/>
    <n v="85.4"/>
    <x v="1"/>
  </r>
  <r>
    <n v="455"/>
    <x v="0"/>
    <n v="3.4"/>
    <n v="83.7"/>
    <n v="7.2"/>
    <s v="High School"/>
    <s v="Yes"/>
    <x v="0"/>
    <s v="No"/>
    <n v="55"/>
    <n v="80.7"/>
    <x v="1"/>
  </r>
  <r>
    <n v="456"/>
    <x v="0"/>
    <n v="4.5"/>
    <n v="66.2"/>
    <n v="5"/>
    <s v="High School"/>
    <s v="Yes"/>
    <x v="1"/>
    <s v="No"/>
    <n v="63.3"/>
    <n v="72.7"/>
    <x v="3"/>
  </r>
  <r>
    <n v="457"/>
    <x v="1"/>
    <n v="1.8"/>
    <n v="79.5"/>
    <n v="8.6"/>
    <s v="High School"/>
    <s v="Yes"/>
    <x v="1"/>
    <s v="Yes"/>
    <n v="53.2"/>
    <n v="68.8"/>
    <x v="2"/>
  </r>
  <r>
    <n v="458"/>
    <x v="1"/>
    <n v="4.0999999999999996"/>
    <n v="85.9"/>
    <n v="5.4"/>
    <s v="High School"/>
    <s v="No"/>
    <x v="0"/>
    <s v="No"/>
    <n v="95.1"/>
    <n v="89.9"/>
    <x v="1"/>
  </r>
  <r>
    <n v="459"/>
    <x v="0"/>
    <n v="3.7"/>
    <n v="86.6"/>
    <n v="7.1"/>
    <s v="Bachelors"/>
    <s v="No"/>
    <x v="1"/>
    <s v="No"/>
    <n v="69.7"/>
    <n v="83.3"/>
    <x v="1"/>
  </r>
  <r>
    <n v="460"/>
    <x v="0"/>
    <n v="4.2"/>
    <n v="74.7"/>
    <n v="5.5"/>
    <s v="Masters"/>
    <s v="Yes"/>
    <x v="0"/>
    <s v="No"/>
    <n v="69.3"/>
    <n v="86.8"/>
    <x v="1"/>
  </r>
  <r>
    <n v="461"/>
    <x v="1"/>
    <n v="3.9"/>
    <n v="97.7"/>
    <n v="6.1"/>
    <s v="High School"/>
    <s v="Yes"/>
    <x v="0"/>
    <s v="Yes"/>
    <n v="77.099999999999994"/>
    <n v="98.2"/>
    <x v="0"/>
  </r>
  <r>
    <n v="462"/>
    <x v="0"/>
    <n v="7.2"/>
    <n v="76.3"/>
    <n v="5.8"/>
    <s v="Bachelors"/>
    <s v="Yes"/>
    <x v="1"/>
    <s v="No"/>
    <n v="81.5"/>
    <n v="100"/>
    <x v="0"/>
  </r>
  <r>
    <n v="463"/>
    <x v="1"/>
    <n v="2.5"/>
    <n v="94.7"/>
    <n v="6.1"/>
    <s v="Masters"/>
    <s v="Yes"/>
    <x v="0"/>
    <s v="Yes"/>
    <n v="81.400000000000006"/>
    <n v="95.1"/>
    <x v="0"/>
  </r>
  <r>
    <n v="464"/>
    <x v="0"/>
    <n v="2.7"/>
    <n v="89.3"/>
    <n v="6.2"/>
    <s v="Bachelors"/>
    <s v="Yes"/>
    <x v="0"/>
    <s v="No"/>
    <n v="82.9"/>
    <n v="93.5"/>
    <x v="0"/>
  </r>
  <r>
    <n v="465"/>
    <x v="1"/>
    <n v="2.6"/>
    <n v="78.5"/>
    <n v="6.1"/>
    <s v="PhD"/>
    <s v="No"/>
    <x v="0"/>
    <s v="Yes"/>
    <n v="62.4"/>
    <n v="63.2"/>
    <x v="2"/>
  </r>
  <r>
    <n v="466"/>
    <x v="0"/>
    <n v="2.7"/>
    <n v="100"/>
    <n v="7.8"/>
    <s v="PhD"/>
    <s v="Yes"/>
    <x v="0"/>
    <s v="No"/>
    <n v="66.400000000000006"/>
    <n v="100"/>
    <x v="0"/>
  </r>
  <r>
    <n v="467"/>
    <x v="1"/>
    <n v="2.5"/>
    <n v="73.099999999999994"/>
    <n v="5.5"/>
    <s v="High School"/>
    <s v="Yes"/>
    <x v="1"/>
    <s v="Yes"/>
    <n v="79.2"/>
    <n v="77.099999999999994"/>
    <x v="3"/>
  </r>
  <r>
    <n v="468"/>
    <x v="0"/>
    <n v="5.3"/>
    <n v="94.2"/>
    <n v="7.1"/>
    <s v="Masters"/>
    <s v="Yes"/>
    <x v="1"/>
    <s v="No"/>
    <n v="63.7"/>
    <n v="88.8"/>
    <x v="1"/>
  </r>
  <r>
    <n v="469"/>
    <x v="0"/>
    <n v="5.6"/>
    <n v="95"/>
    <n v="8.3000000000000007"/>
    <s v="Bachelors"/>
    <s v="Yes"/>
    <x v="1"/>
    <s v="No"/>
    <n v="69.900000000000006"/>
    <n v="100"/>
    <x v="0"/>
  </r>
  <r>
    <n v="470"/>
    <x v="1"/>
    <n v="2.6"/>
    <n v="78.3"/>
    <n v="6.2"/>
    <s v="None"/>
    <s v="Yes"/>
    <x v="0"/>
    <s v="Yes"/>
    <n v="74.8"/>
    <n v="89.9"/>
    <x v="1"/>
  </r>
  <r>
    <n v="471"/>
    <x v="0"/>
    <n v="2.2999999999999998"/>
    <n v="98.9"/>
    <n v="5.9"/>
    <s v="Bachelors"/>
    <s v="Yes"/>
    <x v="0"/>
    <s v="No"/>
    <n v="79.400000000000006"/>
    <n v="87.6"/>
    <x v="1"/>
  </r>
  <r>
    <n v="472"/>
    <x v="1"/>
    <n v="4.2"/>
    <n v="82.5"/>
    <n v="6.5"/>
    <s v="None"/>
    <s v="No"/>
    <x v="0"/>
    <s v="Yes"/>
    <n v="48.7"/>
    <n v="68"/>
    <x v="2"/>
  </r>
  <r>
    <n v="473"/>
    <x v="0"/>
    <n v="2.7"/>
    <n v="87.9"/>
    <n v="8.1999999999999993"/>
    <s v="Masters"/>
    <s v="No"/>
    <x v="0"/>
    <s v="No"/>
    <n v="78.599999999999994"/>
    <n v="82.2"/>
    <x v="1"/>
  </r>
  <r>
    <n v="474"/>
    <x v="1"/>
    <n v="4.4000000000000004"/>
    <n v="87.6"/>
    <n v="7"/>
    <s v="High School"/>
    <s v="Yes"/>
    <x v="0"/>
    <s v="No"/>
    <n v="67.2"/>
    <n v="94"/>
    <x v="0"/>
  </r>
  <r>
    <n v="475"/>
    <x v="0"/>
    <n v="3.8"/>
    <n v="83.7"/>
    <n v="6.2"/>
    <s v="Bachelors"/>
    <s v="No"/>
    <x v="1"/>
    <s v="No"/>
    <n v="78.5"/>
    <n v="90.9"/>
    <x v="0"/>
  </r>
  <r>
    <n v="476"/>
    <x v="1"/>
    <n v="1.2"/>
    <n v="93.1"/>
    <n v="7.4"/>
    <s v="None"/>
    <s v="Yes"/>
    <x v="1"/>
    <s v="No"/>
    <n v="79.3"/>
    <n v="85"/>
    <x v="1"/>
  </r>
  <r>
    <n v="477"/>
    <x v="0"/>
    <n v="5.8"/>
    <n v="92.9"/>
    <n v="5.5"/>
    <s v="PhD"/>
    <s v="Yes"/>
    <x v="1"/>
    <s v="Yes"/>
    <n v="89.3"/>
    <n v="100"/>
    <x v="0"/>
  </r>
  <r>
    <n v="478"/>
    <x v="1"/>
    <n v="6.2"/>
    <n v="67.5"/>
    <n v="7.6"/>
    <s v="High School"/>
    <s v="Yes"/>
    <x v="0"/>
    <s v="No"/>
    <n v="86.2"/>
    <n v="100"/>
    <x v="0"/>
  </r>
  <r>
    <n v="479"/>
    <x v="0"/>
    <n v="2.6"/>
    <n v="98"/>
    <n v="7.3"/>
    <s v="Masters"/>
    <s v="Yes"/>
    <x v="1"/>
    <s v="Yes"/>
    <n v="86.2"/>
    <n v="87.4"/>
    <x v="1"/>
  </r>
  <r>
    <n v="480"/>
    <x v="1"/>
    <n v="2.9"/>
    <n v="68.400000000000006"/>
    <n v="6.4"/>
    <s v="High School"/>
    <s v="No"/>
    <x v="0"/>
    <s v="No"/>
    <n v="87.3"/>
    <n v="84.8"/>
    <x v="1"/>
  </r>
  <r>
    <n v="481"/>
    <x v="1"/>
    <n v="3.9"/>
    <n v="95.3"/>
    <n v="5.8"/>
    <s v="High School"/>
    <s v="Yes"/>
    <x v="0"/>
    <s v="No"/>
    <n v="73.5"/>
    <n v="89.5"/>
    <x v="1"/>
  </r>
  <r>
    <n v="482"/>
    <x v="1"/>
    <n v="4"/>
    <n v="96.3"/>
    <n v="5.7"/>
    <s v="Bachelors"/>
    <s v="Yes"/>
    <x v="1"/>
    <s v="No"/>
    <n v="70.400000000000006"/>
    <n v="92.3"/>
    <x v="0"/>
  </r>
  <r>
    <n v="483"/>
    <x v="0"/>
    <n v="4.5"/>
    <n v="74.099999999999994"/>
    <n v="7.4"/>
    <s v="High School"/>
    <s v="Yes"/>
    <x v="1"/>
    <s v="Yes"/>
    <n v="80.5"/>
    <n v="86.6"/>
    <x v="1"/>
  </r>
  <r>
    <n v="484"/>
    <x v="1"/>
    <n v="6.5"/>
    <n v="80.900000000000006"/>
    <n v="8.3000000000000007"/>
    <s v="Masters"/>
    <s v="Yes"/>
    <x v="0"/>
    <s v="No"/>
    <n v="78.8"/>
    <n v="100"/>
    <x v="0"/>
  </r>
  <r>
    <n v="485"/>
    <x v="0"/>
    <n v="3.2"/>
    <n v="73.900000000000006"/>
    <n v="6"/>
    <s v="High School"/>
    <s v="Yes"/>
    <x v="0"/>
    <s v="No"/>
    <n v="66.3"/>
    <n v="75.7"/>
    <x v="3"/>
  </r>
  <r>
    <n v="486"/>
    <x v="1"/>
    <n v="2.2999999999999998"/>
    <n v="82.9"/>
    <n v="7.4"/>
    <s v="Masters"/>
    <s v="Yes"/>
    <x v="0"/>
    <s v="Yes"/>
    <n v="74.900000000000006"/>
    <n v="87.3"/>
    <x v="1"/>
  </r>
  <r>
    <n v="487"/>
    <x v="0"/>
    <n v="1.4"/>
    <n v="81.900000000000006"/>
    <n v="4.3"/>
    <s v="High School"/>
    <s v="Yes"/>
    <x v="1"/>
    <s v="No"/>
    <n v="69.599999999999994"/>
    <n v="66.599999999999994"/>
    <x v="2"/>
  </r>
  <r>
    <n v="488"/>
    <x v="1"/>
    <n v="2.4"/>
    <n v="92.8"/>
    <n v="6.1"/>
    <s v="High School"/>
    <s v="Yes"/>
    <x v="0"/>
    <s v="No"/>
    <n v="59.8"/>
    <n v="74.099999999999994"/>
    <x v="3"/>
  </r>
  <r>
    <n v="489"/>
    <x v="0"/>
    <n v="3.5"/>
    <n v="98.1"/>
    <n v="6.8"/>
    <s v="High School"/>
    <s v="Yes"/>
    <x v="1"/>
    <s v="No"/>
    <n v="85.5"/>
    <n v="100"/>
    <x v="0"/>
  </r>
  <r>
    <n v="490"/>
    <x v="0"/>
    <n v="6.2"/>
    <n v="99"/>
    <n v="5.7"/>
    <s v="High School"/>
    <s v="Yes"/>
    <x v="0"/>
    <s v="No"/>
    <n v="70.7"/>
    <n v="100"/>
    <x v="0"/>
  </r>
  <r>
    <n v="491"/>
    <x v="1"/>
    <n v="2.7"/>
    <n v="79.400000000000006"/>
    <n v="5.7"/>
    <s v="High School"/>
    <s v="Yes"/>
    <x v="0"/>
    <s v="No"/>
    <n v="94.6"/>
    <n v="74.3"/>
    <x v="3"/>
  </r>
  <r>
    <n v="492"/>
    <x v="0"/>
    <n v="3.8"/>
    <n v="82.9"/>
    <n v="6"/>
    <s v="High School"/>
    <s v="Yes"/>
    <x v="0"/>
    <s v="Yes"/>
    <n v="50.5"/>
    <n v="71.099999999999994"/>
    <x v="3"/>
  </r>
  <r>
    <n v="493"/>
    <x v="0"/>
    <n v="3.5"/>
    <n v="68.2"/>
    <n v="7.2"/>
    <s v="Bachelors"/>
    <s v="Yes"/>
    <x v="0"/>
    <s v="No"/>
    <n v="63.3"/>
    <n v="66.7"/>
    <x v="2"/>
  </r>
  <r>
    <n v="494"/>
    <x v="1"/>
    <n v="5.3"/>
    <n v="76.900000000000006"/>
    <n v="6.6"/>
    <s v="High School"/>
    <s v="Yes"/>
    <x v="0"/>
    <s v="Yes"/>
    <n v="70.400000000000006"/>
    <n v="82.1"/>
    <x v="1"/>
  </r>
  <r>
    <n v="495"/>
    <x v="0"/>
    <n v="7.3"/>
    <n v="94.6"/>
    <n v="4.0999999999999996"/>
    <s v="Bachelors"/>
    <s v="Yes"/>
    <x v="1"/>
    <s v="No"/>
    <n v="83.6"/>
    <n v="88.5"/>
    <x v="1"/>
  </r>
  <r>
    <n v="496"/>
    <x v="0"/>
    <n v="2.7"/>
    <n v="100"/>
    <n v="4.3"/>
    <s v="Bachelors"/>
    <s v="No"/>
    <x v="1"/>
    <s v="No"/>
    <n v="74.8"/>
    <n v="79.400000000000006"/>
    <x v="3"/>
  </r>
  <r>
    <n v="497"/>
    <x v="0"/>
    <n v="2.8"/>
    <n v="72.7"/>
    <n v="6.1"/>
    <s v="PhD"/>
    <s v="Yes"/>
    <x v="1"/>
    <s v="No"/>
    <n v="73.7"/>
    <n v="71"/>
    <x v="3"/>
  </r>
  <r>
    <n v="498"/>
    <x v="1"/>
    <n v="5.0999999999999996"/>
    <n v="79.099999999999994"/>
    <n v="7.3"/>
    <s v="None"/>
    <s v="Yes"/>
    <x v="1"/>
    <s v="No"/>
    <n v="56.5"/>
    <n v="85.4"/>
    <x v="1"/>
  </r>
  <r>
    <n v="499"/>
    <x v="0"/>
    <n v="4.5"/>
    <n v="84.7"/>
    <n v="3.5"/>
    <s v="Bachelors"/>
    <s v="No"/>
    <x v="1"/>
    <s v="Yes"/>
    <n v="56.1"/>
    <n v="61.8"/>
    <x v="2"/>
  </r>
  <r>
    <n v="500"/>
    <x v="1"/>
    <n v="6.3"/>
    <n v="87.8"/>
    <n v="6.2"/>
    <s v="High School"/>
    <s v="Yes"/>
    <x v="1"/>
    <s v="No"/>
    <n v="73.900000000000006"/>
    <n v="99.6"/>
    <x v="0"/>
  </r>
  <r>
    <n v="501"/>
    <x v="0"/>
    <n v="4.4000000000000004"/>
    <n v="76.900000000000006"/>
    <n v="6.2"/>
    <s v="High School"/>
    <s v="Yes"/>
    <x v="1"/>
    <s v="No"/>
    <n v="53.6"/>
    <n v="76.099999999999994"/>
    <x v="3"/>
  </r>
  <r>
    <n v="502"/>
    <x v="0"/>
    <n v="3"/>
    <n v="89.2"/>
    <n v="8.5"/>
    <s v="None"/>
    <s v="Yes"/>
    <x v="0"/>
    <s v="Yes"/>
    <n v="63.6"/>
    <n v="90.4"/>
    <x v="0"/>
  </r>
  <r>
    <n v="503"/>
    <x v="0"/>
    <n v="4.4000000000000004"/>
    <n v="80.3"/>
    <n v="6.3"/>
    <s v="High School"/>
    <s v="No"/>
    <x v="0"/>
    <s v="No"/>
    <n v="76"/>
    <n v="93.3"/>
    <x v="0"/>
  </r>
  <r>
    <n v="504"/>
    <x v="1"/>
    <n v="5.2"/>
    <n v="84.9"/>
    <n v="7.3"/>
    <s v="High School"/>
    <s v="No"/>
    <x v="0"/>
    <s v="No"/>
    <n v="58.2"/>
    <n v="88.9"/>
    <x v="1"/>
  </r>
  <r>
    <n v="505"/>
    <x v="0"/>
    <n v="4.7"/>
    <n v="90.5"/>
    <n v="7"/>
    <s v="High School"/>
    <s v="Yes"/>
    <x v="0"/>
    <s v="No"/>
    <n v="89.3"/>
    <n v="99"/>
    <x v="0"/>
  </r>
  <r>
    <n v="506"/>
    <x v="0"/>
    <n v="4.3"/>
    <n v="85.1"/>
    <n v="4.2"/>
    <s v="High School"/>
    <s v="Yes"/>
    <x v="0"/>
    <s v="Yes"/>
    <n v="84.7"/>
    <n v="100"/>
    <x v="0"/>
  </r>
  <r>
    <n v="507"/>
    <x v="1"/>
    <n v="5.0999999999999996"/>
    <n v="80.599999999999994"/>
    <n v="7.7"/>
    <s v="High School"/>
    <s v="Yes"/>
    <x v="1"/>
    <s v="No"/>
    <n v="51.1"/>
    <n v="74.5"/>
    <x v="3"/>
  </r>
  <r>
    <n v="508"/>
    <x v="0"/>
    <n v="5.3"/>
    <n v="83.9"/>
    <n v="7.1"/>
    <s v="Masters"/>
    <s v="No"/>
    <x v="0"/>
    <s v="Yes"/>
    <n v="58.8"/>
    <n v="72.8"/>
    <x v="3"/>
  </r>
  <r>
    <n v="509"/>
    <x v="1"/>
    <n v="5.6"/>
    <n v="84.1"/>
    <n v="7.4"/>
    <s v="High School"/>
    <s v="No"/>
    <x v="0"/>
    <s v="Yes"/>
    <n v="42.6"/>
    <n v="76.099999999999994"/>
    <x v="3"/>
  </r>
  <r>
    <n v="510"/>
    <x v="1"/>
    <n v="4.5"/>
    <n v="81.3"/>
    <n v="10"/>
    <s v="Bachelors"/>
    <s v="Yes"/>
    <x v="0"/>
    <s v="Yes"/>
    <n v="60.6"/>
    <n v="99.5"/>
    <x v="0"/>
  </r>
  <r>
    <n v="511"/>
    <x v="0"/>
    <n v="3.2"/>
    <n v="82.4"/>
    <n v="4.3"/>
    <s v="High School"/>
    <s v="Yes"/>
    <x v="0"/>
    <s v="Yes"/>
    <n v="79.2"/>
    <n v="79.900000000000006"/>
    <x v="3"/>
  </r>
  <r>
    <n v="512"/>
    <x v="1"/>
    <n v="3.7"/>
    <n v="100"/>
    <n v="8.9"/>
    <s v="High School"/>
    <s v="Yes"/>
    <x v="0"/>
    <s v="Yes"/>
    <n v="65"/>
    <n v="88.2"/>
    <x v="1"/>
  </r>
  <r>
    <n v="513"/>
    <x v="0"/>
    <n v="5.3"/>
    <n v="90.6"/>
    <n v="6.5"/>
    <s v="None"/>
    <s v="Yes"/>
    <x v="0"/>
    <s v="No"/>
    <n v="75.5"/>
    <n v="88.9"/>
    <x v="1"/>
  </r>
  <r>
    <n v="514"/>
    <x v="1"/>
    <n v="2.2999999999999998"/>
    <n v="82"/>
    <n v="7.1"/>
    <s v="High School"/>
    <s v="Yes"/>
    <x v="0"/>
    <s v="No"/>
    <n v="51.7"/>
    <n v="77.900000000000006"/>
    <x v="3"/>
  </r>
  <r>
    <n v="515"/>
    <x v="1"/>
    <n v="4.0999999999999996"/>
    <n v="92"/>
    <n v="6.7"/>
    <s v="Masters"/>
    <s v="Yes"/>
    <x v="0"/>
    <s v="Yes"/>
    <n v="79.599999999999994"/>
    <n v="97.2"/>
    <x v="0"/>
  </r>
  <r>
    <n v="516"/>
    <x v="0"/>
    <n v="2.9"/>
    <n v="81.7"/>
    <n v="6.3"/>
    <s v="Bachelors"/>
    <s v="Yes"/>
    <x v="1"/>
    <s v="Yes"/>
    <n v="63.3"/>
    <n v="79.3"/>
    <x v="3"/>
  </r>
  <r>
    <n v="517"/>
    <x v="1"/>
    <n v="3.5"/>
    <n v="96.7"/>
    <n v="6.1"/>
    <s v="High School"/>
    <s v="Yes"/>
    <x v="1"/>
    <s v="No"/>
    <n v="70.099999999999994"/>
    <n v="84.2"/>
    <x v="1"/>
  </r>
  <r>
    <n v="518"/>
    <x v="1"/>
    <n v="5.4"/>
    <n v="88.7"/>
    <n v="7.2"/>
    <s v="None"/>
    <s v="No"/>
    <x v="0"/>
    <s v="No"/>
    <n v="68.900000000000006"/>
    <n v="86.3"/>
    <x v="1"/>
  </r>
  <r>
    <n v="519"/>
    <x v="1"/>
    <n v="3.8"/>
    <n v="83.9"/>
    <n v="5"/>
    <s v="High School"/>
    <s v="Yes"/>
    <x v="0"/>
    <s v="Yes"/>
    <n v="54.7"/>
    <n v="67.599999999999994"/>
    <x v="2"/>
  </r>
  <r>
    <n v="520"/>
    <x v="1"/>
    <n v="3.6"/>
    <n v="89.5"/>
    <n v="7.7"/>
    <s v="PhD"/>
    <s v="Yes"/>
    <x v="0"/>
    <s v="Yes"/>
    <n v="56.2"/>
    <n v="80.7"/>
    <x v="1"/>
  </r>
  <r>
    <n v="521"/>
    <x v="1"/>
    <n v="1.5"/>
    <n v="69.3"/>
    <n v="6.3"/>
    <s v="High School"/>
    <s v="Yes"/>
    <x v="1"/>
    <s v="Yes"/>
    <n v="81.599999999999994"/>
    <n v="64.7"/>
    <x v="2"/>
  </r>
  <r>
    <n v="522"/>
    <x v="0"/>
    <n v="4.5999999999999996"/>
    <n v="73.7"/>
    <n v="5.4"/>
    <s v="PhD"/>
    <s v="No"/>
    <x v="0"/>
    <s v="Yes"/>
    <n v="74.8"/>
    <n v="71.8"/>
    <x v="3"/>
  </r>
  <r>
    <n v="523"/>
    <x v="1"/>
    <n v="4.5"/>
    <n v="73.099999999999994"/>
    <n v="6.3"/>
    <s v="High School"/>
    <s v="Yes"/>
    <x v="0"/>
    <s v="Yes"/>
    <n v="82.6"/>
    <n v="84.9"/>
    <x v="1"/>
  </r>
  <r>
    <n v="524"/>
    <x v="0"/>
    <n v="6.7"/>
    <n v="86.4"/>
    <n v="8.3000000000000007"/>
    <s v="Bachelors"/>
    <s v="Yes"/>
    <x v="1"/>
    <s v="No"/>
    <n v="73.900000000000006"/>
    <n v="100"/>
    <x v="0"/>
  </r>
  <r>
    <n v="525"/>
    <x v="1"/>
    <n v="3"/>
    <n v="100"/>
    <n v="6.2"/>
    <s v="Masters"/>
    <s v="Yes"/>
    <x v="0"/>
    <s v="Yes"/>
    <n v="71.7"/>
    <n v="82.4"/>
    <x v="1"/>
  </r>
  <r>
    <n v="526"/>
    <x v="0"/>
    <n v="3.8"/>
    <n v="100"/>
    <n v="7.2"/>
    <s v="None"/>
    <s v="Yes"/>
    <x v="0"/>
    <s v="No"/>
    <n v="49.3"/>
    <n v="87.3"/>
    <x v="1"/>
  </r>
  <r>
    <n v="527"/>
    <x v="0"/>
    <n v="3.9"/>
    <n v="91.4"/>
    <n v="5.9"/>
    <s v="None"/>
    <s v="Yes"/>
    <x v="0"/>
    <s v="Yes"/>
    <n v="66.8"/>
    <n v="84.8"/>
    <x v="1"/>
  </r>
  <r>
    <n v="528"/>
    <x v="1"/>
    <n v="5.9"/>
    <n v="90"/>
    <n v="7.7"/>
    <s v="Masters"/>
    <s v="Yes"/>
    <x v="1"/>
    <s v="No"/>
    <n v="69.7"/>
    <n v="96.4"/>
    <x v="0"/>
  </r>
  <r>
    <n v="529"/>
    <x v="1"/>
    <n v="3.4"/>
    <n v="67"/>
    <n v="7.6"/>
    <s v="PhD"/>
    <s v="No"/>
    <x v="1"/>
    <s v="No"/>
    <n v="93.4"/>
    <n v="84.3"/>
    <x v="1"/>
  </r>
  <r>
    <n v="530"/>
    <x v="1"/>
    <n v="3.9"/>
    <n v="79.599999999999994"/>
    <n v="9"/>
    <s v="High School"/>
    <s v="Yes"/>
    <x v="1"/>
    <s v="No"/>
    <n v="78.2"/>
    <n v="84.5"/>
    <x v="1"/>
  </r>
  <r>
    <n v="531"/>
    <x v="0"/>
    <n v="4.4000000000000004"/>
    <n v="77.099999999999994"/>
    <n v="6.6"/>
    <s v="High School"/>
    <s v="Yes"/>
    <x v="0"/>
    <s v="No"/>
    <n v="88.4"/>
    <n v="94.7"/>
    <x v="0"/>
  </r>
  <r>
    <n v="532"/>
    <x v="1"/>
    <n v="3.8"/>
    <n v="78.8"/>
    <n v="7.6"/>
    <s v="High School"/>
    <s v="Yes"/>
    <x v="0"/>
    <s v="No"/>
    <n v="77.2"/>
    <n v="89.6"/>
    <x v="1"/>
  </r>
  <r>
    <n v="533"/>
    <x v="0"/>
    <n v="2.8"/>
    <n v="83.3"/>
    <n v="6.9"/>
    <s v="Bachelors"/>
    <s v="Yes"/>
    <x v="1"/>
    <s v="No"/>
    <n v="61.5"/>
    <n v="68.599999999999994"/>
    <x v="2"/>
  </r>
  <r>
    <n v="534"/>
    <x v="0"/>
    <n v="3.8"/>
    <n v="80.3"/>
    <n v="8.4"/>
    <s v="Bachelors"/>
    <s v="Yes"/>
    <x v="1"/>
    <s v="No"/>
    <n v="71.400000000000006"/>
    <n v="92.8"/>
    <x v="0"/>
  </r>
  <r>
    <n v="535"/>
    <x v="0"/>
    <n v="5.0999999999999996"/>
    <n v="65.2"/>
    <n v="5.9"/>
    <s v="Bachelors"/>
    <s v="Yes"/>
    <x v="0"/>
    <s v="No"/>
    <n v="72.8"/>
    <n v="80.7"/>
    <x v="1"/>
  </r>
  <r>
    <n v="536"/>
    <x v="1"/>
    <n v="2"/>
    <n v="92.5"/>
    <n v="7.7"/>
    <s v="High School"/>
    <s v="Yes"/>
    <x v="1"/>
    <s v="No"/>
    <n v="58.7"/>
    <n v="77.599999999999994"/>
    <x v="3"/>
  </r>
  <r>
    <n v="537"/>
    <x v="1"/>
    <n v="3.7"/>
    <n v="74.3"/>
    <n v="6.6"/>
    <s v="Masters"/>
    <s v="Yes"/>
    <x v="0"/>
    <s v="No"/>
    <n v="65.400000000000006"/>
    <n v="87.7"/>
    <x v="1"/>
  </r>
  <r>
    <n v="538"/>
    <x v="0"/>
    <n v="2.4"/>
    <n v="87.4"/>
    <n v="6.7"/>
    <s v="High School"/>
    <s v="Yes"/>
    <x v="0"/>
    <s v="No"/>
    <n v="67.5"/>
    <n v="86"/>
    <x v="1"/>
  </r>
  <r>
    <n v="539"/>
    <x v="0"/>
    <n v="5.3"/>
    <n v="100"/>
    <n v="6.9"/>
    <s v="High School"/>
    <s v="Yes"/>
    <x v="1"/>
    <s v="No"/>
    <n v="89.3"/>
    <n v="100"/>
    <x v="0"/>
  </r>
  <r>
    <n v="540"/>
    <x v="1"/>
    <n v="1.2"/>
    <n v="75.8"/>
    <n v="7.1"/>
    <s v="Bachelors"/>
    <s v="Yes"/>
    <x v="0"/>
    <s v="Yes"/>
    <n v="45"/>
    <n v="57.3"/>
    <x v="4"/>
  </r>
  <r>
    <n v="541"/>
    <x v="0"/>
    <n v="2.7"/>
    <n v="59.7"/>
    <n v="6.7"/>
    <s v="Masters"/>
    <s v="No"/>
    <x v="1"/>
    <s v="Yes"/>
    <n v="84.5"/>
    <n v="75.599999999999994"/>
    <x v="3"/>
  </r>
  <r>
    <n v="542"/>
    <x v="1"/>
    <n v="4.0999999999999996"/>
    <n v="82.1"/>
    <n v="7.1"/>
    <s v="Masters"/>
    <s v="Yes"/>
    <x v="0"/>
    <s v="No"/>
    <n v="58.8"/>
    <n v="87.3"/>
    <x v="1"/>
  </r>
  <r>
    <n v="543"/>
    <x v="0"/>
    <n v="5.8"/>
    <n v="96"/>
    <n v="8.6999999999999993"/>
    <s v="Bachelors"/>
    <s v="Yes"/>
    <x v="0"/>
    <s v="Yes"/>
    <n v="53.5"/>
    <n v="88.8"/>
    <x v="1"/>
  </r>
  <r>
    <n v="544"/>
    <x v="1"/>
    <n v="3.4"/>
    <n v="100"/>
    <n v="8"/>
    <s v="High School"/>
    <s v="Yes"/>
    <x v="1"/>
    <s v="No"/>
    <n v="84.2"/>
    <n v="91.8"/>
    <x v="0"/>
  </r>
  <r>
    <n v="545"/>
    <x v="0"/>
    <n v="2.7"/>
    <n v="72.7"/>
    <n v="7.8"/>
    <s v="Bachelors"/>
    <s v="Yes"/>
    <x v="1"/>
    <s v="Yes"/>
    <n v="78.8"/>
    <n v="66"/>
    <x v="2"/>
  </r>
  <r>
    <n v="546"/>
    <x v="1"/>
    <n v="6.3"/>
    <n v="90"/>
    <n v="6.3"/>
    <s v="High School"/>
    <s v="Yes"/>
    <x v="0"/>
    <s v="No"/>
    <n v="85.1"/>
    <n v="100"/>
    <x v="0"/>
  </r>
  <r>
    <n v="547"/>
    <x v="0"/>
    <n v="1.3"/>
    <n v="80.3"/>
    <n v="5.7"/>
    <s v="Bachelors"/>
    <s v="No"/>
    <x v="0"/>
    <s v="No"/>
    <n v="79.599999999999994"/>
    <n v="71.099999999999994"/>
    <x v="3"/>
  </r>
  <r>
    <n v="548"/>
    <x v="1"/>
    <n v="0.5"/>
    <n v="83.9"/>
    <n v="7.9"/>
    <s v="Bachelors"/>
    <s v="Yes"/>
    <x v="1"/>
    <s v="No"/>
    <n v="94.7"/>
    <n v="88.8"/>
    <x v="1"/>
  </r>
  <r>
    <n v="549"/>
    <x v="1"/>
    <n v="4.2"/>
    <n v="100"/>
    <n v="7.9"/>
    <s v="High School"/>
    <s v="Yes"/>
    <x v="0"/>
    <s v="No"/>
    <n v="76.7"/>
    <n v="100"/>
    <x v="0"/>
  </r>
  <r>
    <n v="550"/>
    <x v="0"/>
    <n v="2.7"/>
    <n v="70"/>
    <n v="8.6"/>
    <s v="High School"/>
    <s v="Yes"/>
    <x v="1"/>
    <s v="No"/>
    <n v="68.099999999999994"/>
    <n v="85.2"/>
    <x v="1"/>
  </r>
  <r>
    <n v="551"/>
    <x v="0"/>
    <n v="2"/>
    <n v="87.5"/>
    <n v="6.1"/>
    <s v="None"/>
    <s v="Yes"/>
    <x v="1"/>
    <s v="No"/>
    <n v="74.099999999999994"/>
    <n v="75.400000000000006"/>
    <x v="3"/>
  </r>
  <r>
    <n v="552"/>
    <x v="1"/>
    <n v="4.5999999999999996"/>
    <n v="89.7"/>
    <n v="6.5"/>
    <s v="None"/>
    <s v="Yes"/>
    <x v="0"/>
    <s v="No"/>
    <n v="84.9"/>
    <n v="100"/>
    <x v="0"/>
  </r>
  <r>
    <n v="553"/>
    <x v="0"/>
    <n v="3.9"/>
    <n v="95.9"/>
    <n v="4.8"/>
    <s v="Bachelors"/>
    <s v="Yes"/>
    <x v="0"/>
    <s v="Yes"/>
    <n v="60.6"/>
    <n v="78.900000000000006"/>
    <x v="3"/>
  </r>
  <r>
    <n v="554"/>
    <x v="1"/>
    <n v="2.7"/>
    <n v="86"/>
    <n v="6.3"/>
    <s v="High School"/>
    <s v="Yes"/>
    <x v="0"/>
    <s v="No"/>
    <n v="62.2"/>
    <n v="83.4"/>
    <x v="1"/>
  </r>
  <r>
    <n v="555"/>
    <x v="0"/>
    <n v="1.6"/>
    <n v="88.1"/>
    <n v="8"/>
    <s v="High School"/>
    <s v="No"/>
    <x v="1"/>
    <s v="No"/>
    <n v="66.3"/>
    <n v="63.4"/>
    <x v="2"/>
  </r>
  <r>
    <n v="556"/>
    <x v="1"/>
    <n v="4.8"/>
    <n v="81.099999999999994"/>
    <n v="6.2"/>
    <s v="Bachelors"/>
    <s v="Yes"/>
    <x v="0"/>
    <s v="No"/>
    <n v="44.7"/>
    <n v="80.7"/>
    <x v="1"/>
  </r>
  <r>
    <n v="557"/>
    <x v="1"/>
    <n v="4.5"/>
    <n v="87.7"/>
    <n v="7.6"/>
    <s v="None"/>
    <s v="Yes"/>
    <x v="0"/>
    <s v="No"/>
    <n v="71.7"/>
    <n v="80.8"/>
    <x v="1"/>
  </r>
  <r>
    <n v="558"/>
    <x v="1"/>
    <n v="3.4"/>
    <n v="81.599999999999994"/>
    <n v="6.6"/>
    <s v="High School"/>
    <s v="Yes"/>
    <x v="0"/>
    <s v="No"/>
    <n v="47.4"/>
    <n v="73.099999999999994"/>
    <x v="3"/>
  </r>
  <r>
    <n v="559"/>
    <x v="1"/>
    <n v="6.3"/>
    <n v="91.2"/>
    <n v="7.2"/>
    <s v="Masters"/>
    <s v="Yes"/>
    <x v="1"/>
    <s v="Yes"/>
    <n v="70.599999999999994"/>
    <n v="99.8"/>
    <x v="0"/>
  </r>
  <r>
    <n v="560"/>
    <x v="1"/>
    <n v="1.9"/>
    <n v="81.3"/>
    <n v="5.4"/>
    <s v="High School"/>
    <s v="Yes"/>
    <x v="0"/>
    <s v="Yes"/>
    <n v="80.400000000000006"/>
    <n v="73.5"/>
    <x v="3"/>
  </r>
  <r>
    <n v="561"/>
    <x v="1"/>
    <n v="1.2"/>
    <n v="88.8"/>
    <n v="6.9"/>
    <s v="None"/>
    <s v="Yes"/>
    <x v="0"/>
    <s v="No"/>
    <n v="64.3"/>
    <n v="68.2"/>
    <x v="2"/>
  </r>
  <r>
    <n v="562"/>
    <x v="0"/>
    <n v="2.5"/>
    <n v="84.7"/>
    <n v="3.2"/>
    <s v="Bachelors"/>
    <s v="No"/>
    <x v="1"/>
    <s v="No"/>
    <n v="90.1"/>
    <n v="83.9"/>
    <x v="1"/>
  </r>
  <r>
    <n v="563"/>
    <x v="0"/>
    <n v="3.4"/>
    <n v="96.3"/>
    <n v="6.6"/>
    <s v="Masters"/>
    <s v="No"/>
    <x v="1"/>
    <s v="No"/>
    <n v="52.5"/>
    <n v="75.3"/>
    <x v="3"/>
  </r>
  <r>
    <n v="564"/>
    <x v="0"/>
    <n v="3.9"/>
    <n v="84.5"/>
    <n v="4.8"/>
    <s v="High School"/>
    <s v="No"/>
    <x v="1"/>
    <s v="Yes"/>
    <n v="84.3"/>
    <n v="78.7"/>
    <x v="3"/>
  </r>
  <r>
    <n v="565"/>
    <x v="1"/>
    <n v="3.1"/>
    <n v="67.3"/>
    <n v="8.1999999999999993"/>
    <s v="Bachelors"/>
    <s v="Yes"/>
    <x v="0"/>
    <s v="No"/>
    <n v="78.099999999999994"/>
    <n v="82.8"/>
    <x v="1"/>
  </r>
  <r>
    <n v="566"/>
    <x v="1"/>
    <n v="4"/>
    <n v="97.6"/>
    <n v="7.7"/>
    <s v="High School"/>
    <s v="Yes"/>
    <x v="0"/>
    <s v="No"/>
    <n v="49.4"/>
    <n v="100"/>
    <x v="0"/>
  </r>
  <r>
    <n v="567"/>
    <x v="1"/>
    <n v="1.6"/>
    <n v="75.900000000000006"/>
    <n v="7.4"/>
    <s v="High School"/>
    <s v="Yes"/>
    <x v="1"/>
    <s v="No"/>
    <n v="100"/>
    <n v="92.6"/>
    <x v="0"/>
  </r>
  <r>
    <n v="568"/>
    <x v="1"/>
    <n v="5.7"/>
    <n v="78.5"/>
    <n v="8.6"/>
    <s v="None"/>
    <s v="Yes"/>
    <x v="0"/>
    <s v="Yes"/>
    <n v="69.2"/>
    <n v="99.1"/>
    <x v="0"/>
  </r>
  <r>
    <n v="569"/>
    <x v="0"/>
    <n v="3.4"/>
    <n v="79"/>
    <n v="5.7"/>
    <s v="None"/>
    <s v="Yes"/>
    <x v="1"/>
    <s v="Yes"/>
    <n v="59.5"/>
    <n v="76.2"/>
    <x v="3"/>
  </r>
  <r>
    <n v="570"/>
    <x v="0"/>
    <n v="5.2"/>
    <n v="98.7"/>
    <n v="8.9"/>
    <s v="PhD"/>
    <s v="Yes"/>
    <x v="1"/>
    <s v="Yes"/>
    <n v="53.1"/>
    <n v="90.9"/>
    <x v="0"/>
  </r>
  <r>
    <n v="571"/>
    <x v="1"/>
    <n v="4"/>
    <n v="63.6"/>
    <n v="7.9"/>
    <s v="Bachelors"/>
    <s v="Yes"/>
    <x v="0"/>
    <s v="Yes"/>
    <n v="67.400000000000006"/>
    <n v="63.3"/>
    <x v="2"/>
  </r>
  <r>
    <n v="572"/>
    <x v="0"/>
    <n v="4.2"/>
    <n v="100"/>
    <n v="6.5"/>
    <s v="Masters"/>
    <s v="Yes"/>
    <x v="1"/>
    <s v="Yes"/>
    <n v="68.5"/>
    <n v="85"/>
    <x v="1"/>
  </r>
  <r>
    <n v="573"/>
    <x v="0"/>
    <n v="4.4000000000000004"/>
    <n v="95.6"/>
    <n v="8.1999999999999993"/>
    <s v="High School"/>
    <s v="Yes"/>
    <x v="1"/>
    <s v="Yes"/>
    <n v="71.2"/>
    <n v="88.7"/>
    <x v="1"/>
  </r>
  <r>
    <n v="574"/>
    <x v="1"/>
    <n v="4.2"/>
    <n v="87.2"/>
    <n v="5.5"/>
    <s v="High School"/>
    <s v="Yes"/>
    <x v="0"/>
    <s v="No"/>
    <n v="66.400000000000006"/>
    <n v="75.3"/>
    <x v="3"/>
  </r>
  <r>
    <n v="575"/>
    <x v="0"/>
    <n v="4.5"/>
    <n v="84.5"/>
    <n v="5.8"/>
    <s v="High School"/>
    <s v="Yes"/>
    <x v="0"/>
    <s v="No"/>
    <n v="77.599999999999994"/>
    <n v="84.9"/>
    <x v="1"/>
  </r>
  <r>
    <n v="576"/>
    <x v="1"/>
    <n v="5.5"/>
    <n v="87.9"/>
    <n v="6.1"/>
    <s v="Bachelors"/>
    <s v="Yes"/>
    <x v="0"/>
    <s v="No"/>
    <n v="65.3"/>
    <n v="81.099999999999994"/>
    <x v="1"/>
  </r>
  <r>
    <n v="577"/>
    <x v="0"/>
    <n v="3.8"/>
    <n v="90.2"/>
    <n v="6.2"/>
    <s v="Bachelors"/>
    <s v="Yes"/>
    <x v="0"/>
    <s v="Yes"/>
    <n v="46.8"/>
    <n v="75.599999999999994"/>
    <x v="3"/>
  </r>
  <r>
    <n v="578"/>
    <x v="1"/>
    <n v="4.5999999999999996"/>
    <n v="91.5"/>
    <n v="5.5"/>
    <s v="High School"/>
    <s v="Yes"/>
    <x v="0"/>
    <s v="No"/>
    <n v="68.2"/>
    <n v="95.5"/>
    <x v="0"/>
  </r>
  <r>
    <n v="579"/>
    <x v="1"/>
    <n v="3.4"/>
    <n v="90.6"/>
    <n v="8.3000000000000007"/>
    <s v="Bachelors"/>
    <s v="Yes"/>
    <x v="1"/>
    <s v="No"/>
    <n v="41.6"/>
    <n v="83.3"/>
    <x v="1"/>
  </r>
  <r>
    <n v="580"/>
    <x v="1"/>
    <n v="5.7"/>
    <n v="85.9"/>
    <n v="6.5"/>
    <s v="Masters"/>
    <s v="Yes"/>
    <x v="1"/>
    <s v="Yes"/>
    <n v="74.2"/>
    <n v="95.7"/>
    <x v="0"/>
  </r>
  <r>
    <n v="581"/>
    <x v="1"/>
    <n v="2.5"/>
    <n v="83"/>
    <n v="7.2"/>
    <s v="Bachelors"/>
    <s v="Yes"/>
    <x v="0"/>
    <s v="No"/>
    <n v="58.2"/>
    <n v="70.400000000000006"/>
    <x v="3"/>
  </r>
  <r>
    <n v="582"/>
    <x v="0"/>
    <n v="6.2"/>
    <n v="83.5"/>
    <n v="6.1"/>
    <s v="High School"/>
    <s v="Yes"/>
    <x v="0"/>
    <s v="Yes"/>
    <n v="72"/>
    <n v="82.7"/>
    <x v="1"/>
  </r>
  <r>
    <n v="583"/>
    <x v="1"/>
    <n v="3.4"/>
    <n v="83.1"/>
    <n v="4.5999999999999996"/>
    <s v="High School"/>
    <s v="Yes"/>
    <x v="1"/>
    <s v="No"/>
    <n v="85.8"/>
    <n v="76.7"/>
    <x v="3"/>
  </r>
  <r>
    <n v="584"/>
    <x v="1"/>
    <n v="1.4"/>
    <n v="96.3"/>
    <n v="7.1"/>
    <s v="High School"/>
    <s v="Yes"/>
    <x v="0"/>
    <s v="No"/>
    <n v="58.6"/>
    <n v="68.400000000000006"/>
    <x v="2"/>
  </r>
  <r>
    <n v="585"/>
    <x v="1"/>
    <n v="3.7"/>
    <n v="90.9"/>
    <n v="4.5"/>
    <s v="High School"/>
    <s v="Yes"/>
    <x v="1"/>
    <s v="No"/>
    <n v="82.7"/>
    <n v="84.6"/>
    <x v="1"/>
  </r>
  <r>
    <n v="586"/>
    <x v="0"/>
    <n v="2.5"/>
    <n v="55.6"/>
    <n v="6.7"/>
    <s v="Bachelors"/>
    <s v="Yes"/>
    <x v="0"/>
    <s v="No"/>
    <n v="64.8"/>
    <n v="67.7"/>
    <x v="2"/>
  </r>
  <r>
    <n v="587"/>
    <x v="1"/>
    <n v="4.8"/>
    <n v="91.6"/>
    <n v="5.2"/>
    <s v="Bachelors"/>
    <s v="No"/>
    <x v="0"/>
    <s v="No"/>
    <n v="91"/>
    <n v="89.2"/>
    <x v="1"/>
  </r>
  <r>
    <n v="588"/>
    <x v="0"/>
    <n v="2.5"/>
    <n v="86.9"/>
    <n v="9.1999999999999993"/>
    <s v="Masters"/>
    <s v="Yes"/>
    <x v="0"/>
    <s v="No"/>
    <n v="65.599999999999994"/>
    <n v="85"/>
    <x v="1"/>
  </r>
  <r>
    <n v="589"/>
    <x v="1"/>
    <n v="2.8"/>
    <n v="84.8"/>
    <n v="7.9"/>
    <s v="Bachelors"/>
    <s v="Yes"/>
    <x v="1"/>
    <s v="No"/>
    <n v="59.9"/>
    <n v="77.3"/>
    <x v="3"/>
  </r>
  <r>
    <n v="590"/>
    <x v="0"/>
    <n v="0.7"/>
    <n v="81.099999999999994"/>
    <n v="6.9"/>
    <s v="Masters"/>
    <s v="Yes"/>
    <x v="0"/>
    <s v="Yes"/>
    <n v="78.2"/>
    <n v="72.2"/>
    <x v="3"/>
  </r>
  <r>
    <n v="591"/>
    <x v="0"/>
    <n v="2.8"/>
    <n v="96.2"/>
    <n v="8.3000000000000007"/>
    <s v="High School"/>
    <s v="Yes"/>
    <x v="1"/>
    <s v="Yes"/>
    <n v="64.8"/>
    <n v="89"/>
    <x v="1"/>
  </r>
  <r>
    <n v="592"/>
    <x v="1"/>
    <n v="0.5"/>
    <n v="94.5"/>
    <n v="5.8"/>
    <s v="Bachelors"/>
    <s v="Yes"/>
    <x v="0"/>
    <s v="No"/>
    <n v="59.9"/>
    <n v="63.2"/>
    <x v="2"/>
  </r>
  <r>
    <n v="593"/>
    <x v="0"/>
    <n v="1.1000000000000001"/>
    <n v="77.3"/>
    <n v="7.5"/>
    <s v="Masters"/>
    <s v="Yes"/>
    <x v="0"/>
    <s v="No"/>
    <n v="64.3"/>
    <n v="73.2"/>
    <x v="3"/>
  </r>
  <r>
    <n v="594"/>
    <x v="1"/>
    <n v="4.5999999999999996"/>
    <n v="89.1"/>
    <n v="7"/>
    <s v="High School"/>
    <s v="No"/>
    <x v="0"/>
    <s v="No"/>
    <n v="69.5"/>
    <n v="87"/>
    <x v="1"/>
  </r>
  <r>
    <n v="595"/>
    <x v="1"/>
    <n v="4.7"/>
    <n v="75.3"/>
    <n v="7.1"/>
    <s v="High School"/>
    <s v="Yes"/>
    <x v="1"/>
    <s v="Yes"/>
    <n v="86.1"/>
    <n v="88.5"/>
    <x v="1"/>
  </r>
  <r>
    <n v="596"/>
    <x v="1"/>
    <n v="4.0999999999999996"/>
    <n v="71.2"/>
    <n v="8.3000000000000007"/>
    <s v="PhD"/>
    <s v="Yes"/>
    <x v="1"/>
    <s v="No"/>
    <n v="46.8"/>
    <n v="80.400000000000006"/>
    <x v="1"/>
  </r>
  <r>
    <n v="597"/>
    <x v="0"/>
    <n v="2"/>
    <n v="78.7"/>
    <n v="7.7"/>
    <s v="High School"/>
    <s v="Yes"/>
    <x v="0"/>
    <s v="Yes"/>
    <n v="70.3"/>
    <n v="80.2"/>
    <x v="1"/>
  </r>
  <r>
    <n v="598"/>
    <x v="0"/>
    <n v="3.4"/>
    <n v="93.6"/>
    <n v="7.1"/>
    <s v="Masters"/>
    <s v="No"/>
    <x v="0"/>
    <s v="No"/>
    <n v="77.5"/>
    <n v="80.900000000000006"/>
    <x v="1"/>
  </r>
  <r>
    <n v="599"/>
    <x v="1"/>
    <n v="3.5"/>
    <n v="94.5"/>
    <n v="4.8"/>
    <s v="High School"/>
    <s v="Yes"/>
    <x v="0"/>
    <s v="No"/>
    <n v="72.3"/>
    <n v="86.4"/>
    <x v="1"/>
  </r>
  <r>
    <n v="600"/>
    <x v="1"/>
    <n v="1.8"/>
    <n v="90.1"/>
    <n v="5.6"/>
    <s v="Masters"/>
    <s v="Yes"/>
    <x v="0"/>
    <s v="No"/>
    <n v="85.7"/>
    <n v="86.3"/>
    <x v="1"/>
  </r>
  <r>
    <n v="601"/>
    <x v="0"/>
    <n v="5.8"/>
    <n v="92.3"/>
    <n v="6.7"/>
    <s v="High School"/>
    <s v="Yes"/>
    <x v="0"/>
    <s v="Yes"/>
    <n v="69.099999999999994"/>
    <n v="93.4"/>
    <x v="0"/>
  </r>
  <r>
    <n v="602"/>
    <x v="1"/>
    <n v="4.8"/>
    <n v="90.2"/>
    <n v="6.9"/>
    <s v="High School"/>
    <s v="Yes"/>
    <x v="1"/>
    <s v="No"/>
    <n v="67.8"/>
    <n v="95.1"/>
    <x v="0"/>
  </r>
  <r>
    <n v="603"/>
    <x v="1"/>
    <n v="3.2"/>
    <n v="78.599999999999994"/>
    <n v="5.4"/>
    <s v="Bachelors"/>
    <s v="Yes"/>
    <x v="1"/>
    <s v="No"/>
    <n v="77.099999999999994"/>
    <n v="83.9"/>
    <x v="1"/>
  </r>
  <r>
    <n v="604"/>
    <x v="1"/>
    <n v="3.5"/>
    <n v="89.3"/>
    <n v="9.6999999999999993"/>
    <s v="High School"/>
    <s v="Yes"/>
    <x v="0"/>
    <s v="No"/>
    <n v="71.2"/>
    <n v="100"/>
    <x v="0"/>
  </r>
  <r>
    <n v="605"/>
    <x v="0"/>
    <n v="3.8"/>
    <n v="93"/>
    <n v="8.6"/>
    <s v="Bachelors"/>
    <s v="Yes"/>
    <x v="0"/>
    <s v="No"/>
    <n v="65.3"/>
    <n v="80.900000000000006"/>
    <x v="1"/>
  </r>
  <r>
    <n v="606"/>
    <x v="0"/>
    <n v="0.5"/>
    <n v="92.5"/>
    <n v="7.5"/>
    <s v="High School"/>
    <s v="Yes"/>
    <x v="1"/>
    <s v="No"/>
    <n v="76.2"/>
    <n v="76.400000000000006"/>
    <x v="3"/>
  </r>
  <r>
    <n v="607"/>
    <x v="0"/>
    <n v="3.1"/>
    <n v="96.9"/>
    <n v="6.9"/>
    <s v="High School"/>
    <s v="No"/>
    <x v="1"/>
    <s v="No"/>
    <n v="62.2"/>
    <n v="73.599999999999994"/>
    <x v="3"/>
  </r>
  <r>
    <n v="608"/>
    <x v="1"/>
    <n v="2.5"/>
    <n v="92.1"/>
    <n v="6.5"/>
    <s v="High School"/>
    <s v="Yes"/>
    <x v="0"/>
    <s v="No"/>
    <n v="62.7"/>
    <n v="84"/>
    <x v="1"/>
  </r>
  <r>
    <n v="609"/>
    <x v="1"/>
    <n v="2"/>
    <n v="88.5"/>
    <n v="5.7"/>
    <s v="High School"/>
    <s v="No"/>
    <x v="0"/>
    <s v="Yes"/>
    <n v="63.7"/>
    <n v="58.6"/>
    <x v="4"/>
  </r>
  <r>
    <n v="610"/>
    <x v="1"/>
    <n v="3.1"/>
    <n v="95.7"/>
    <n v="6.9"/>
    <s v="None"/>
    <s v="Yes"/>
    <x v="0"/>
    <s v="No"/>
    <n v="86.2"/>
    <n v="96.3"/>
    <x v="0"/>
  </r>
  <r>
    <n v="611"/>
    <x v="0"/>
    <n v="6.2"/>
    <n v="84.7"/>
    <n v="7.1"/>
    <s v="High School"/>
    <s v="Yes"/>
    <x v="0"/>
    <s v="No"/>
    <n v="31.3"/>
    <n v="78.8"/>
    <x v="3"/>
  </r>
  <r>
    <n v="612"/>
    <x v="1"/>
    <n v="4.5"/>
    <n v="76.2"/>
    <n v="5.3"/>
    <s v="Bachelors"/>
    <s v="Yes"/>
    <x v="0"/>
    <s v="Yes"/>
    <n v="74.7"/>
    <n v="79.8"/>
    <x v="3"/>
  </r>
  <r>
    <n v="613"/>
    <x v="1"/>
    <n v="2.6"/>
    <n v="83.4"/>
    <n v="7.2"/>
    <s v="High School"/>
    <s v="Yes"/>
    <x v="0"/>
    <s v="Yes"/>
    <n v="70.400000000000006"/>
    <n v="70"/>
    <x v="3"/>
  </r>
  <r>
    <n v="614"/>
    <x v="1"/>
    <n v="4.4000000000000004"/>
    <n v="77.599999999999994"/>
    <n v="6.6"/>
    <s v="High School"/>
    <s v="Yes"/>
    <x v="1"/>
    <s v="No"/>
    <n v="49.8"/>
    <n v="75"/>
    <x v="3"/>
  </r>
  <r>
    <n v="615"/>
    <x v="1"/>
    <n v="5.6"/>
    <n v="78.2"/>
    <n v="4.5"/>
    <s v="None"/>
    <s v="Yes"/>
    <x v="0"/>
    <s v="Yes"/>
    <n v="73.7"/>
    <n v="95"/>
    <x v="0"/>
  </r>
  <r>
    <n v="616"/>
    <x v="0"/>
    <n v="4.9000000000000004"/>
    <n v="83.6"/>
    <n v="5.8"/>
    <s v="High School"/>
    <s v="Yes"/>
    <x v="0"/>
    <s v="No"/>
    <n v="75.7"/>
    <n v="92.4"/>
    <x v="0"/>
  </r>
  <r>
    <n v="617"/>
    <x v="0"/>
    <n v="3.6"/>
    <n v="77.099999999999994"/>
    <n v="6.3"/>
    <s v="None"/>
    <s v="Yes"/>
    <x v="0"/>
    <s v="Yes"/>
    <n v="77.099999999999994"/>
    <n v="86.4"/>
    <x v="1"/>
  </r>
  <r>
    <n v="618"/>
    <x v="1"/>
    <n v="2.5"/>
    <n v="81.900000000000006"/>
    <n v="9.1"/>
    <s v="High School"/>
    <s v="Yes"/>
    <x v="1"/>
    <s v="No"/>
    <n v="38.200000000000003"/>
    <n v="79.099999999999994"/>
    <x v="3"/>
  </r>
  <r>
    <n v="619"/>
    <x v="0"/>
    <n v="4.5"/>
    <n v="66.099999999999994"/>
    <n v="7.5"/>
    <s v="Masters"/>
    <s v="Yes"/>
    <x v="1"/>
    <s v="No"/>
    <n v="86.4"/>
    <n v="91.5"/>
    <x v="0"/>
  </r>
  <r>
    <n v="620"/>
    <x v="0"/>
    <n v="4.0999999999999996"/>
    <n v="87.1"/>
    <n v="5.2"/>
    <s v="Bachelors"/>
    <s v="Yes"/>
    <x v="0"/>
    <s v="No"/>
    <n v="61.1"/>
    <n v="80.3"/>
    <x v="1"/>
  </r>
  <r>
    <n v="621"/>
    <x v="1"/>
    <n v="4.8"/>
    <n v="85"/>
    <n v="7.4"/>
    <s v="PhD"/>
    <s v="Yes"/>
    <x v="0"/>
    <s v="No"/>
    <n v="78.2"/>
    <n v="98.3"/>
    <x v="0"/>
  </r>
  <r>
    <n v="622"/>
    <x v="1"/>
    <n v="4.5"/>
    <n v="76.8"/>
    <n v="4.9000000000000004"/>
    <s v="Bachelors"/>
    <s v="No"/>
    <x v="1"/>
    <s v="No"/>
    <n v="78.900000000000006"/>
    <n v="79.3"/>
    <x v="3"/>
  </r>
  <r>
    <n v="623"/>
    <x v="0"/>
    <n v="5.0999999999999996"/>
    <n v="91.6"/>
    <n v="8.1"/>
    <s v="Bachelors"/>
    <s v="Yes"/>
    <x v="0"/>
    <s v="No"/>
    <n v="59.5"/>
    <n v="89.5"/>
    <x v="1"/>
  </r>
  <r>
    <n v="624"/>
    <x v="1"/>
    <n v="2.7"/>
    <n v="94.4"/>
    <n v="6.2"/>
    <s v="High School"/>
    <s v="Yes"/>
    <x v="0"/>
    <s v="Yes"/>
    <n v="77.900000000000006"/>
    <n v="75.7"/>
    <x v="3"/>
  </r>
  <r>
    <n v="625"/>
    <x v="0"/>
    <n v="5.5"/>
    <n v="68.900000000000006"/>
    <n v="6.7"/>
    <s v="High School"/>
    <s v="Yes"/>
    <x v="0"/>
    <s v="Yes"/>
    <n v="65.400000000000006"/>
    <n v="89.6"/>
    <x v="1"/>
  </r>
  <r>
    <n v="626"/>
    <x v="1"/>
    <n v="3.8"/>
    <n v="77.400000000000006"/>
    <n v="8.4"/>
    <s v="None"/>
    <s v="Yes"/>
    <x v="0"/>
    <s v="Yes"/>
    <n v="45.1"/>
    <n v="71"/>
    <x v="3"/>
  </r>
  <r>
    <n v="627"/>
    <x v="0"/>
    <n v="6.6"/>
    <n v="77.3"/>
    <n v="5.3"/>
    <s v="High School"/>
    <s v="No"/>
    <x v="0"/>
    <s v="No"/>
    <n v="84"/>
    <n v="96.8"/>
    <x v="0"/>
  </r>
  <r>
    <n v="628"/>
    <x v="1"/>
    <n v="2.5"/>
    <n v="75.599999999999994"/>
    <n v="5.0999999999999996"/>
    <s v="Bachelors"/>
    <s v="Yes"/>
    <x v="1"/>
    <s v="Yes"/>
    <n v="60.7"/>
    <n v="61.9"/>
    <x v="2"/>
  </r>
  <r>
    <n v="629"/>
    <x v="0"/>
    <n v="6.1"/>
    <n v="93.3"/>
    <n v="6.1"/>
    <s v="Masters"/>
    <s v="Yes"/>
    <x v="1"/>
    <s v="Yes"/>
    <n v="59.7"/>
    <n v="93.9"/>
    <x v="0"/>
  </r>
  <r>
    <n v="630"/>
    <x v="0"/>
    <n v="3.8"/>
    <n v="83.1"/>
    <n v="8"/>
    <s v="High School"/>
    <s v="Yes"/>
    <x v="0"/>
    <s v="No"/>
    <n v="65.2"/>
    <n v="81.3"/>
    <x v="1"/>
  </r>
  <r>
    <n v="631"/>
    <x v="0"/>
    <n v="2.5"/>
    <n v="82.4"/>
    <n v="5"/>
    <s v="None"/>
    <s v="Yes"/>
    <x v="1"/>
    <s v="No"/>
    <n v="73.3"/>
    <n v="77.599999999999994"/>
    <x v="3"/>
  </r>
  <r>
    <n v="632"/>
    <x v="1"/>
    <n v="2.8"/>
    <n v="65"/>
    <n v="3.4"/>
    <s v="Masters"/>
    <s v="No"/>
    <x v="0"/>
    <s v="No"/>
    <n v="69.3"/>
    <n v="71.400000000000006"/>
    <x v="3"/>
  </r>
  <r>
    <n v="633"/>
    <x v="0"/>
    <n v="3"/>
    <n v="91.4"/>
    <n v="6.3"/>
    <s v="Bachelors"/>
    <s v="Yes"/>
    <x v="0"/>
    <s v="Yes"/>
    <n v="76.599999999999994"/>
    <n v="89.4"/>
    <x v="1"/>
  </r>
  <r>
    <n v="634"/>
    <x v="0"/>
    <n v="4.0999999999999996"/>
    <n v="72.599999999999994"/>
    <n v="7.5"/>
    <s v="PhD"/>
    <s v="Yes"/>
    <x v="1"/>
    <s v="Yes"/>
    <n v="53.9"/>
    <n v="74.3"/>
    <x v="3"/>
  </r>
  <r>
    <n v="635"/>
    <x v="1"/>
    <n v="4.3"/>
    <n v="85.6"/>
    <n v="8.1999999999999993"/>
    <s v="High School"/>
    <s v="Yes"/>
    <x v="1"/>
    <s v="No"/>
    <n v="61.1"/>
    <n v="76"/>
    <x v="3"/>
  </r>
  <r>
    <n v="636"/>
    <x v="1"/>
    <n v="2.6"/>
    <n v="87.8"/>
    <n v="6.2"/>
    <s v="High School"/>
    <s v="Yes"/>
    <x v="0"/>
    <s v="Yes"/>
    <n v="68.599999999999994"/>
    <n v="96.3"/>
    <x v="0"/>
  </r>
  <r>
    <n v="637"/>
    <x v="0"/>
    <n v="3.5"/>
    <n v="98.6"/>
    <n v="6.3"/>
    <s v="Bachelors"/>
    <s v="Yes"/>
    <x v="0"/>
    <s v="No"/>
    <n v="92.8"/>
    <n v="100"/>
    <x v="0"/>
  </r>
  <r>
    <n v="638"/>
    <x v="0"/>
    <n v="6.7"/>
    <n v="71.900000000000006"/>
    <n v="8.1999999999999993"/>
    <s v="High School"/>
    <s v="Yes"/>
    <x v="1"/>
    <s v="No"/>
    <n v="68.599999999999994"/>
    <n v="99.9"/>
    <x v="0"/>
  </r>
  <r>
    <n v="639"/>
    <x v="1"/>
    <n v="6.1"/>
    <n v="54.8"/>
    <n v="4.5999999999999996"/>
    <s v="Masters"/>
    <s v="Yes"/>
    <x v="1"/>
    <s v="No"/>
    <n v="83"/>
    <n v="83.8"/>
    <x v="1"/>
  </r>
  <r>
    <n v="640"/>
    <x v="1"/>
    <n v="4.2"/>
    <n v="86.8"/>
    <n v="6.3"/>
    <s v="None"/>
    <s v="No"/>
    <x v="1"/>
    <s v="Yes"/>
    <n v="70.5"/>
    <n v="79.400000000000006"/>
    <x v="3"/>
  </r>
  <r>
    <n v="641"/>
    <x v="1"/>
    <n v="3.6"/>
    <n v="100"/>
    <n v="7"/>
    <s v="Bachelors"/>
    <s v="Yes"/>
    <x v="0"/>
    <s v="No"/>
    <n v="64.2"/>
    <n v="86"/>
    <x v="1"/>
  </r>
  <r>
    <n v="642"/>
    <x v="1"/>
    <n v="3.7"/>
    <n v="97.4"/>
    <n v="7.3"/>
    <s v="High School"/>
    <s v="Yes"/>
    <x v="0"/>
    <s v="No"/>
    <n v="67"/>
    <n v="97.9"/>
    <x v="0"/>
  </r>
  <r>
    <n v="643"/>
    <x v="1"/>
    <n v="4.4000000000000004"/>
    <n v="87.1"/>
    <n v="6.2"/>
    <s v="None"/>
    <s v="Yes"/>
    <x v="0"/>
    <s v="No"/>
    <n v="68"/>
    <n v="90.5"/>
    <x v="0"/>
  </r>
  <r>
    <n v="644"/>
    <x v="0"/>
    <n v="2"/>
    <n v="80.099999999999994"/>
    <n v="6.8"/>
    <s v="Bachelors"/>
    <s v="No"/>
    <x v="0"/>
    <s v="No"/>
    <n v="77.2"/>
    <n v="70.400000000000006"/>
    <x v="3"/>
  </r>
  <r>
    <n v="645"/>
    <x v="1"/>
    <n v="3.1"/>
    <n v="93.1"/>
    <n v="3.8"/>
    <s v="Bachelors"/>
    <s v="Yes"/>
    <x v="1"/>
    <s v="Yes"/>
    <n v="86.5"/>
    <n v="82.9"/>
    <x v="1"/>
  </r>
  <r>
    <n v="646"/>
    <x v="0"/>
    <n v="1"/>
    <n v="75.3"/>
    <n v="6"/>
    <s v="Bachelors"/>
    <s v="Yes"/>
    <x v="0"/>
    <s v="Yes"/>
    <n v="74.3"/>
    <n v="75.5"/>
    <x v="3"/>
  </r>
  <r>
    <n v="647"/>
    <x v="0"/>
    <n v="4.0999999999999996"/>
    <n v="89.8"/>
    <n v="7.3"/>
    <s v="None"/>
    <s v="Yes"/>
    <x v="0"/>
    <s v="No"/>
    <n v="84.2"/>
    <n v="100"/>
    <x v="0"/>
  </r>
  <r>
    <n v="648"/>
    <x v="0"/>
    <n v="4.5"/>
    <n v="90.1"/>
    <n v="5.6"/>
    <s v="Bachelors"/>
    <s v="Yes"/>
    <x v="1"/>
    <s v="No"/>
    <n v="58.4"/>
    <n v="94"/>
    <x v="0"/>
  </r>
  <r>
    <n v="649"/>
    <x v="1"/>
    <n v="2.8"/>
    <n v="95.6"/>
    <n v="6.9"/>
    <s v="Masters"/>
    <s v="Yes"/>
    <x v="0"/>
    <s v="No"/>
    <n v="65"/>
    <n v="88.9"/>
    <x v="1"/>
  </r>
  <r>
    <n v="650"/>
    <x v="0"/>
    <n v="5.9"/>
    <n v="100"/>
    <n v="7.3"/>
    <s v="Masters"/>
    <s v="Yes"/>
    <x v="0"/>
    <s v="No"/>
    <n v="61.3"/>
    <n v="97.3"/>
    <x v="0"/>
  </r>
  <r>
    <n v="651"/>
    <x v="0"/>
    <n v="1.7"/>
    <n v="88.9"/>
    <n v="6.4"/>
    <s v="High School"/>
    <s v="Yes"/>
    <x v="1"/>
    <s v="No"/>
    <n v="73.8"/>
    <n v="59.5"/>
    <x v="4"/>
  </r>
  <r>
    <n v="652"/>
    <x v="1"/>
    <n v="1.3"/>
    <n v="79.900000000000006"/>
    <n v="7"/>
    <s v="Bachelors"/>
    <s v="Yes"/>
    <x v="1"/>
    <s v="No"/>
    <n v="65.7"/>
    <n v="73.3"/>
    <x v="3"/>
  </r>
  <r>
    <n v="653"/>
    <x v="0"/>
    <n v="3.8"/>
    <n v="84.7"/>
    <n v="5.6"/>
    <s v="Masters"/>
    <s v="Yes"/>
    <x v="1"/>
    <s v="No"/>
    <n v="78.8"/>
    <n v="88"/>
    <x v="1"/>
  </r>
  <r>
    <n v="654"/>
    <x v="0"/>
    <n v="5.0999999999999996"/>
    <n v="67.3"/>
    <n v="6.6"/>
    <s v="Bachelors"/>
    <s v="No"/>
    <x v="0"/>
    <s v="Yes"/>
    <n v="58.8"/>
    <n v="74.8"/>
    <x v="3"/>
  </r>
  <r>
    <n v="655"/>
    <x v="1"/>
    <n v="6"/>
    <n v="78.099999999999994"/>
    <n v="7.5"/>
    <s v="Masters"/>
    <s v="No"/>
    <x v="1"/>
    <s v="No"/>
    <n v="70.5"/>
    <n v="89.9"/>
    <x v="1"/>
  </r>
  <r>
    <n v="656"/>
    <x v="0"/>
    <n v="2.8"/>
    <n v="80.900000000000006"/>
    <n v="7"/>
    <s v="None"/>
    <s v="Yes"/>
    <x v="1"/>
    <s v="Yes"/>
    <n v="78.2"/>
    <n v="72.599999999999994"/>
    <x v="3"/>
  </r>
  <r>
    <n v="657"/>
    <x v="0"/>
    <n v="5.0999999999999996"/>
    <n v="79.8"/>
    <n v="6.1"/>
    <s v="Bachelors"/>
    <s v="Yes"/>
    <x v="0"/>
    <s v="No"/>
    <n v="45.2"/>
    <n v="83.6"/>
    <x v="1"/>
  </r>
  <r>
    <n v="658"/>
    <x v="0"/>
    <n v="3.4"/>
    <n v="86.5"/>
    <n v="7.1"/>
    <s v="Masters"/>
    <s v="Yes"/>
    <x v="0"/>
    <s v="No"/>
    <n v="95.5"/>
    <n v="100"/>
    <x v="0"/>
  </r>
  <r>
    <n v="659"/>
    <x v="1"/>
    <n v="3.2"/>
    <n v="76.8"/>
    <n v="7.7"/>
    <s v="Masters"/>
    <s v="Yes"/>
    <x v="1"/>
    <s v="No"/>
    <n v="66.599999999999994"/>
    <n v="84.3"/>
    <x v="1"/>
  </r>
  <r>
    <n v="660"/>
    <x v="1"/>
    <n v="4.8"/>
    <n v="96.2"/>
    <n v="4.3"/>
    <s v="Masters"/>
    <s v="Yes"/>
    <x v="0"/>
    <s v="Yes"/>
    <n v="45.7"/>
    <n v="85.4"/>
    <x v="1"/>
  </r>
  <r>
    <n v="661"/>
    <x v="1"/>
    <n v="4.5"/>
    <n v="85"/>
    <n v="8.1999999999999993"/>
    <s v="Bachelors"/>
    <s v="Yes"/>
    <x v="1"/>
    <s v="No"/>
    <n v="71.900000000000006"/>
    <n v="95.2"/>
    <x v="0"/>
  </r>
  <r>
    <n v="662"/>
    <x v="0"/>
    <n v="1.1000000000000001"/>
    <n v="84.9"/>
    <n v="6.4"/>
    <s v="High School"/>
    <s v="Yes"/>
    <x v="0"/>
    <s v="Yes"/>
    <n v="70.400000000000006"/>
    <n v="69"/>
    <x v="2"/>
  </r>
  <r>
    <n v="663"/>
    <x v="0"/>
    <n v="5.7"/>
    <n v="81.7"/>
    <n v="7.3"/>
    <s v="Bachelors"/>
    <s v="Yes"/>
    <x v="0"/>
    <s v="No"/>
    <n v="69"/>
    <n v="94.2"/>
    <x v="0"/>
  </r>
  <r>
    <n v="664"/>
    <x v="1"/>
    <n v="5.6"/>
    <n v="86.6"/>
    <n v="8.1999999999999993"/>
    <s v="Masters"/>
    <s v="Yes"/>
    <x v="0"/>
    <s v="Yes"/>
    <n v="81.900000000000006"/>
    <n v="99.7"/>
    <x v="0"/>
  </r>
  <r>
    <n v="665"/>
    <x v="0"/>
    <n v="2.6"/>
    <n v="93.3"/>
    <n v="5.2"/>
    <s v="Bachelors"/>
    <s v="Yes"/>
    <x v="1"/>
    <s v="No"/>
    <n v="79"/>
    <n v="85.8"/>
    <x v="1"/>
  </r>
  <r>
    <n v="666"/>
    <x v="0"/>
    <n v="4.0999999999999996"/>
    <n v="76.3"/>
    <n v="5.9"/>
    <s v="Masters"/>
    <s v="Yes"/>
    <x v="0"/>
    <s v="No"/>
    <n v="73.599999999999994"/>
    <n v="91.7"/>
    <x v="0"/>
  </r>
  <r>
    <n v="667"/>
    <x v="1"/>
    <n v="4.2"/>
    <n v="78.400000000000006"/>
    <n v="6.5"/>
    <s v="Bachelors"/>
    <s v="Yes"/>
    <x v="0"/>
    <s v="No"/>
    <n v="75.400000000000006"/>
    <n v="92.2"/>
    <x v="0"/>
  </r>
  <r>
    <n v="668"/>
    <x v="1"/>
    <n v="3.9"/>
    <n v="82"/>
    <n v="5.9"/>
    <s v="Bachelors"/>
    <s v="Yes"/>
    <x v="1"/>
    <s v="No"/>
    <n v="68.7"/>
    <n v="96.3"/>
    <x v="0"/>
  </r>
  <r>
    <n v="669"/>
    <x v="0"/>
    <n v="2.7"/>
    <n v="71.5"/>
    <n v="8.9"/>
    <s v="High School"/>
    <s v="Yes"/>
    <x v="1"/>
    <s v="Yes"/>
    <n v="91.3"/>
    <n v="97.6"/>
    <x v="0"/>
  </r>
  <r>
    <n v="670"/>
    <x v="0"/>
    <n v="2.5"/>
    <n v="76.8"/>
    <n v="5.8"/>
    <s v="Masters"/>
    <s v="Yes"/>
    <x v="1"/>
    <s v="Yes"/>
    <n v="52.2"/>
    <n v="66.400000000000006"/>
    <x v="2"/>
  </r>
  <r>
    <n v="671"/>
    <x v="0"/>
    <n v="3.5"/>
    <n v="80.2"/>
    <n v="6.1"/>
    <s v="Bachelors"/>
    <s v="Yes"/>
    <x v="0"/>
    <s v="No"/>
    <n v="71.7"/>
    <n v="60.8"/>
    <x v="2"/>
  </r>
  <r>
    <n v="672"/>
    <x v="1"/>
    <n v="5.3"/>
    <n v="93.7"/>
    <n v="7"/>
    <s v="High School"/>
    <s v="No"/>
    <x v="0"/>
    <s v="No"/>
    <n v="70.8"/>
    <n v="99.8"/>
    <x v="0"/>
  </r>
  <r>
    <n v="673"/>
    <x v="1"/>
    <n v="4.3"/>
    <n v="87.6"/>
    <n v="5.4"/>
    <s v="High School"/>
    <s v="Yes"/>
    <x v="1"/>
    <s v="Yes"/>
    <n v="79.8"/>
    <n v="85.2"/>
    <x v="1"/>
  </r>
  <r>
    <n v="674"/>
    <x v="1"/>
    <n v="2.9"/>
    <n v="86.9"/>
    <n v="6.3"/>
    <s v="Masters"/>
    <s v="Yes"/>
    <x v="1"/>
    <s v="No"/>
    <n v="59.9"/>
    <n v="73.2"/>
    <x v="3"/>
  </r>
  <r>
    <n v="675"/>
    <x v="1"/>
    <n v="4.7"/>
    <n v="93.5"/>
    <n v="7.2"/>
    <s v="Bachelors"/>
    <s v="Yes"/>
    <x v="0"/>
    <s v="No"/>
    <n v="49.1"/>
    <n v="83.8"/>
    <x v="1"/>
  </r>
  <r>
    <n v="676"/>
    <x v="0"/>
    <n v="0.5"/>
    <n v="83.6"/>
    <n v="6.4"/>
    <s v="High School"/>
    <s v="No"/>
    <x v="0"/>
    <s v="Yes"/>
    <n v="71.900000000000006"/>
    <n v="61.3"/>
    <x v="2"/>
  </r>
  <r>
    <n v="677"/>
    <x v="1"/>
    <n v="5.2"/>
    <n v="88.9"/>
    <n v="6.7"/>
    <s v="None"/>
    <s v="No"/>
    <x v="1"/>
    <s v="Yes"/>
    <n v="73.400000000000006"/>
    <n v="90.6"/>
    <x v="0"/>
  </r>
  <r>
    <n v="678"/>
    <x v="1"/>
    <n v="0.9"/>
    <n v="84"/>
    <n v="6.2"/>
    <s v="Masters"/>
    <s v="Yes"/>
    <x v="0"/>
    <s v="Yes"/>
    <n v="87.9"/>
    <n v="67.7"/>
    <x v="2"/>
  </r>
  <r>
    <n v="679"/>
    <x v="1"/>
    <n v="3"/>
    <n v="87.7"/>
    <n v="5"/>
    <s v="None"/>
    <s v="No"/>
    <x v="1"/>
    <s v="No"/>
    <n v="54.8"/>
    <n v="63.6"/>
    <x v="2"/>
  </r>
  <r>
    <n v="680"/>
    <x v="1"/>
    <n v="1.8"/>
    <n v="79.2"/>
    <n v="7.2"/>
    <s v="Bachelors"/>
    <s v="Yes"/>
    <x v="0"/>
    <s v="No"/>
    <n v="83.9"/>
    <n v="84.1"/>
    <x v="1"/>
  </r>
  <r>
    <n v="681"/>
    <x v="1"/>
    <n v="1.6"/>
    <n v="60.6"/>
    <n v="8.9"/>
    <s v="Bachelors"/>
    <s v="Yes"/>
    <x v="0"/>
    <s v="No"/>
    <n v="98.4"/>
    <n v="86.2"/>
    <x v="1"/>
  </r>
  <r>
    <n v="682"/>
    <x v="0"/>
    <n v="5.2"/>
    <n v="83.7"/>
    <n v="6.8"/>
    <s v="PhD"/>
    <s v="Yes"/>
    <x v="1"/>
    <s v="No"/>
    <n v="65.5"/>
    <n v="93.9"/>
    <x v="0"/>
  </r>
  <r>
    <n v="683"/>
    <x v="0"/>
    <n v="2.8"/>
    <n v="99.2"/>
    <n v="7.1"/>
    <s v="Bachelors"/>
    <s v="Yes"/>
    <x v="0"/>
    <s v="Yes"/>
    <n v="54.5"/>
    <n v="73.900000000000006"/>
    <x v="3"/>
  </r>
  <r>
    <n v="684"/>
    <x v="1"/>
    <n v="4"/>
    <n v="94.3"/>
    <n v="7.6"/>
    <s v="Masters"/>
    <s v="No"/>
    <x v="0"/>
    <s v="No"/>
    <n v="65.099999999999994"/>
    <n v="79.3"/>
    <x v="3"/>
  </r>
  <r>
    <n v="685"/>
    <x v="0"/>
    <n v="3.4"/>
    <n v="94.7"/>
    <n v="5.3"/>
    <s v="High School"/>
    <s v="Yes"/>
    <x v="0"/>
    <s v="No"/>
    <n v="70.2"/>
    <n v="83.8"/>
    <x v="1"/>
  </r>
  <r>
    <n v="686"/>
    <x v="1"/>
    <n v="4.2"/>
    <n v="97.4"/>
    <n v="8.8000000000000007"/>
    <s v="Bachelors"/>
    <s v="No"/>
    <x v="0"/>
    <s v="Yes"/>
    <n v="76.8"/>
    <n v="91.7"/>
    <x v="0"/>
  </r>
  <r>
    <n v="687"/>
    <x v="1"/>
    <n v="3.6"/>
    <n v="85.9"/>
    <n v="7"/>
    <s v="High School"/>
    <s v="Yes"/>
    <x v="1"/>
    <s v="No"/>
    <n v="62.9"/>
    <n v="91.7"/>
    <x v="0"/>
  </r>
  <r>
    <n v="688"/>
    <x v="0"/>
    <n v="1.6"/>
    <n v="87"/>
    <n v="8.8000000000000007"/>
    <s v="High School"/>
    <s v="Yes"/>
    <x v="1"/>
    <s v="No"/>
    <n v="88.7"/>
    <n v="74.400000000000006"/>
    <x v="3"/>
  </r>
  <r>
    <n v="689"/>
    <x v="0"/>
    <n v="5"/>
    <n v="78.8"/>
    <n v="5.9"/>
    <s v="High School"/>
    <s v="Yes"/>
    <x v="1"/>
    <s v="No"/>
    <n v="56.6"/>
    <n v="81.5"/>
    <x v="1"/>
  </r>
  <r>
    <n v="690"/>
    <x v="1"/>
    <n v="2.8"/>
    <n v="81.8"/>
    <n v="9"/>
    <s v="High School"/>
    <s v="Yes"/>
    <x v="0"/>
    <s v="No"/>
    <n v="49.1"/>
    <n v="67.7"/>
    <x v="2"/>
  </r>
  <r>
    <n v="691"/>
    <x v="1"/>
    <n v="1.2"/>
    <n v="91.2"/>
    <n v="7.7"/>
    <s v="None"/>
    <s v="Yes"/>
    <x v="0"/>
    <s v="Yes"/>
    <n v="83.3"/>
    <n v="71"/>
    <x v="3"/>
  </r>
  <r>
    <n v="692"/>
    <x v="1"/>
    <n v="2.9"/>
    <n v="97"/>
    <n v="7.5"/>
    <s v="High School"/>
    <s v="Yes"/>
    <x v="0"/>
    <s v="Yes"/>
    <n v="42.7"/>
    <n v="79.900000000000006"/>
    <x v="3"/>
  </r>
  <r>
    <n v="693"/>
    <x v="0"/>
    <n v="5.8"/>
    <n v="83.6"/>
    <n v="7.1"/>
    <s v="Masters"/>
    <s v="No"/>
    <x v="1"/>
    <s v="No"/>
    <n v="67.599999999999994"/>
    <n v="92.2"/>
    <x v="0"/>
  </r>
  <r>
    <n v="694"/>
    <x v="1"/>
    <n v="4.8"/>
    <n v="80.5"/>
    <n v="6.5"/>
    <s v="Masters"/>
    <s v="Yes"/>
    <x v="1"/>
    <s v="Yes"/>
    <n v="100"/>
    <n v="100"/>
    <x v="0"/>
  </r>
  <r>
    <n v="695"/>
    <x v="1"/>
    <n v="3"/>
    <n v="85"/>
    <n v="8.1999999999999993"/>
    <s v="Bachelors"/>
    <s v="Yes"/>
    <x v="1"/>
    <s v="No"/>
    <n v="69.900000000000006"/>
    <n v="89.6"/>
    <x v="1"/>
  </r>
  <r>
    <n v="696"/>
    <x v="1"/>
    <n v="3"/>
    <n v="91"/>
    <n v="7"/>
    <s v="High School"/>
    <s v="Yes"/>
    <x v="0"/>
    <s v="No"/>
    <n v="56.6"/>
    <n v="77.5"/>
    <x v="3"/>
  </r>
  <r>
    <n v="697"/>
    <x v="0"/>
    <n v="3"/>
    <n v="70.599999999999994"/>
    <n v="4.4000000000000004"/>
    <s v="Masters"/>
    <s v="Yes"/>
    <x v="0"/>
    <s v="No"/>
    <n v="69.3"/>
    <n v="72.599999999999994"/>
    <x v="3"/>
  </r>
  <r>
    <n v="698"/>
    <x v="1"/>
    <n v="6.6"/>
    <n v="62"/>
    <n v="5.5"/>
    <s v="Bachelors"/>
    <s v="No"/>
    <x v="0"/>
    <s v="No"/>
    <n v="69.400000000000006"/>
    <n v="97.9"/>
    <x v="0"/>
  </r>
  <r>
    <n v="699"/>
    <x v="1"/>
    <n v="4.0999999999999996"/>
    <n v="79.5"/>
    <n v="6.6"/>
    <s v="Masters"/>
    <s v="Yes"/>
    <x v="0"/>
    <s v="No"/>
    <n v="71.900000000000006"/>
    <n v="85.5"/>
    <x v="1"/>
  </r>
  <r>
    <n v="700"/>
    <x v="0"/>
    <n v="4.0999999999999996"/>
    <n v="72.8"/>
    <n v="7.2"/>
    <s v="Masters"/>
    <s v="Yes"/>
    <x v="0"/>
    <s v="No"/>
    <n v="77.900000000000006"/>
    <n v="92.1"/>
    <x v="0"/>
  </r>
  <r>
    <n v="701"/>
    <x v="1"/>
    <n v="5"/>
    <n v="79.900000000000006"/>
    <n v="6.7"/>
    <s v="None"/>
    <s v="Yes"/>
    <x v="1"/>
    <s v="No"/>
    <n v="57.5"/>
    <n v="84.5"/>
    <x v="1"/>
  </r>
  <r>
    <n v="702"/>
    <x v="1"/>
    <n v="3.9"/>
    <n v="83.5"/>
    <n v="8.3000000000000007"/>
    <s v="Bachelors"/>
    <s v="Yes"/>
    <x v="0"/>
    <s v="Yes"/>
    <n v="90.3"/>
    <n v="82.8"/>
    <x v="1"/>
  </r>
  <r>
    <n v="703"/>
    <x v="0"/>
    <n v="3.1"/>
    <n v="80.5"/>
    <n v="4.5"/>
    <s v="High School"/>
    <s v="Yes"/>
    <x v="0"/>
    <s v="Yes"/>
    <n v="72.900000000000006"/>
    <n v="65.400000000000006"/>
    <x v="2"/>
  </r>
  <r>
    <n v="704"/>
    <x v="1"/>
    <n v="3.2"/>
    <n v="99.5"/>
    <n v="7"/>
    <s v="Bachelors"/>
    <s v="Yes"/>
    <x v="0"/>
    <s v="No"/>
    <n v="78.7"/>
    <n v="89.6"/>
    <x v="1"/>
  </r>
  <r>
    <n v="705"/>
    <x v="0"/>
    <n v="3.4"/>
    <n v="88.3"/>
    <n v="4.5999999999999996"/>
    <s v="High School"/>
    <s v="Yes"/>
    <x v="1"/>
    <s v="Yes"/>
    <n v="62.5"/>
    <n v="83.1"/>
    <x v="1"/>
  </r>
  <r>
    <n v="706"/>
    <x v="0"/>
    <n v="3.4"/>
    <n v="88"/>
    <n v="7.7"/>
    <s v="PhD"/>
    <s v="Yes"/>
    <x v="1"/>
    <s v="Yes"/>
    <n v="85.4"/>
    <n v="94.2"/>
    <x v="0"/>
  </r>
  <r>
    <n v="707"/>
    <x v="1"/>
    <n v="4.5999999999999996"/>
    <n v="91.2"/>
    <n v="6.7"/>
    <s v="High School"/>
    <s v="Yes"/>
    <x v="1"/>
    <s v="Yes"/>
    <n v="66.900000000000006"/>
    <n v="92.9"/>
    <x v="0"/>
  </r>
  <r>
    <n v="708"/>
    <x v="1"/>
    <n v="3.6"/>
    <n v="73.599999999999994"/>
    <n v="7.3"/>
    <s v="High School"/>
    <s v="Yes"/>
    <x v="1"/>
    <s v="No"/>
    <n v="73.3"/>
    <n v="77.099999999999994"/>
    <x v="3"/>
  </r>
  <r>
    <n v="709"/>
    <x v="1"/>
    <n v="4.5999999999999996"/>
    <n v="95.4"/>
    <n v="5.8"/>
    <s v="Masters"/>
    <s v="Yes"/>
    <x v="0"/>
    <s v="No"/>
    <n v="58.8"/>
    <n v="98.3"/>
    <x v="0"/>
  </r>
  <r>
    <n v="710"/>
    <x v="1"/>
    <n v="3.4"/>
    <n v="84.2"/>
    <n v="8.3000000000000007"/>
    <s v="Bachelors"/>
    <s v="Yes"/>
    <x v="1"/>
    <s v="Yes"/>
    <n v="58"/>
    <n v="72.099999999999994"/>
    <x v="3"/>
  </r>
  <r>
    <n v="711"/>
    <x v="0"/>
    <n v="3.6"/>
    <n v="91.7"/>
    <n v="8.1"/>
    <s v="Bachelors"/>
    <s v="Yes"/>
    <x v="0"/>
    <s v="No"/>
    <n v="78.3"/>
    <n v="94.6"/>
    <x v="0"/>
  </r>
  <r>
    <n v="712"/>
    <x v="1"/>
    <n v="0.5"/>
    <n v="74.3"/>
    <n v="7.5"/>
    <s v="Bachelors"/>
    <s v="Yes"/>
    <x v="0"/>
    <s v="No"/>
    <n v="64.7"/>
    <n v="67.099999999999994"/>
    <x v="2"/>
  </r>
  <r>
    <n v="713"/>
    <x v="0"/>
    <n v="4.9000000000000004"/>
    <n v="69.5"/>
    <n v="6.6"/>
    <s v="PhD"/>
    <s v="No"/>
    <x v="1"/>
    <s v="Yes"/>
    <n v="59.8"/>
    <n v="72.2"/>
    <x v="3"/>
  </r>
  <r>
    <n v="714"/>
    <x v="1"/>
    <n v="4"/>
    <n v="93.2"/>
    <n v="7.5"/>
    <s v="High School"/>
    <s v="Yes"/>
    <x v="1"/>
    <s v="No"/>
    <n v="62.3"/>
    <n v="95.6"/>
    <x v="0"/>
  </r>
  <r>
    <n v="715"/>
    <x v="1"/>
    <n v="5"/>
    <n v="88.8"/>
    <n v="6"/>
    <s v="PhD"/>
    <s v="Yes"/>
    <x v="0"/>
    <s v="No"/>
    <n v="78.400000000000006"/>
    <n v="91.9"/>
    <x v="0"/>
  </r>
  <r>
    <n v="716"/>
    <x v="1"/>
    <n v="0.5"/>
    <n v="76"/>
    <n v="7.8"/>
    <s v="High School"/>
    <s v="No"/>
    <x v="0"/>
    <s v="No"/>
    <n v="62.5"/>
    <n v="54.1"/>
    <x v="4"/>
  </r>
  <r>
    <n v="717"/>
    <x v="0"/>
    <n v="6.6"/>
    <n v="76.3"/>
    <n v="8.8000000000000007"/>
    <s v="Masters"/>
    <s v="Yes"/>
    <x v="0"/>
    <s v="No"/>
    <n v="68.599999999999994"/>
    <n v="98.5"/>
    <x v="0"/>
  </r>
  <r>
    <n v="718"/>
    <x v="1"/>
    <n v="3.3"/>
    <n v="96.3"/>
    <n v="8.1"/>
    <s v="Masters"/>
    <s v="Yes"/>
    <x v="0"/>
    <s v="Yes"/>
    <n v="70.2"/>
    <n v="85"/>
    <x v="1"/>
  </r>
  <r>
    <n v="719"/>
    <x v="1"/>
    <n v="5.2"/>
    <n v="73.099999999999994"/>
    <n v="5.9"/>
    <s v="High School"/>
    <s v="Yes"/>
    <x v="0"/>
    <s v="No"/>
    <n v="47"/>
    <n v="99.1"/>
    <x v="0"/>
  </r>
  <r>
    <n v="720"/>
    <x v="1"/>
    <n v="1.9"/>
    <n v="100"/>
    <n v="7.2"/>
    <s v="Bachelors"/>
    <s v="Yes"/>
    <x v="0"/>
    <s v="Yes"/>
    <n v="52.3"/>
    <n v="78.2"/>
    <x v="3"/>
  </r>
  <r>
    <n v="721"/>
    <x v="1"/>
    <n v="4.4000000000000004"/>
    <n v="76"/>
    <n v="5.2"/>
    <s v="High School"/>
    <s v="Yes"/>
    <x v="0"/>
    <s v="No"/>
    <n v="74"/>
    <n v="83.8"/>
    <x v="1"/>
  </r>
  <r>
    <n v="722"/>
    <x v="0"/>
    <n v="1.9"/>
    <n v="91.4"/>
    <n v="7.5"/>
    <s v="Masters"/>
    <s v="Yes"/>
    <x v="1"/>
    <s v="No"/>
    <n v="61.2"/>
    <n v="70.7"/>
    <x v="3"/>
  </r>
  <r>
    <n v="723"/>
    <x v="1"/>
    <n v="2.6"/>
    <n v="81.7"/>
    <n v="7.3"/>
    <s v="Bachelors"/>
    <s v="No"/>
    <x v="0"/>
    <s v="No"/>
    <n v="82.7"/>
    <n v="69.900000000000006"/>
    <x v="2"/>
  </r>
  <r>
    <n v="724"/>
    <x v="0"/>
    <n v="6.4"/>
    <n v="91"/>
    <n v="4.5999999999999996"/>
    <s v="Bachelors"/>
    <s v="Yes"/>
    <x v="0"/>
    <s v="Yes"/>
    <n v="81.599999999999994"/>
    <n v="93.7"/>
    <x v="0"/>
  </r>
  <r>
    <n v="725"/>
    <x v="0"/>
    <n v="3.2"/>
    <n v="79.599999999999994"/>
    <n v="5.4"/>
    <s v="High School"/>
    <s v="Yes"/>
    <x v="0"/>
    <s v="No"/>
    <n v="78.599999999999994"/>
    <n v="84.9"/>
    <x v="1"/>
  </r>
  <r>
    <n v="726"/>
    <x v="0"/>
    <n v="3.8"/>
    <n v="83.4"/>
    <n v="6.5"/>
    <s v="High School"/>
    <s v="Yes"/>
    <x v="1"/>
    <s v="No"/>
    <n v="91.8"/>
    <n v="100"/>
    <x v="0"/>
  </r>
  <r>
    <n v="727"/>
    <x v="0"/>
    <n v="4.8"/>
    <n v="85.4"/>
    <n v="6.4"/>
    <s v="High School"/>
    <s v="Yes"/>
    <x v="0"/>
    <s v="No"/>
    <n v="69"/>
    <n v="97.5"/>
    <x v="0"/>
  </r>
  <r>
    <n v="728"/>
    <x v="0"/>
    <n v="4.2"/>
    <n v="75"/>
    <n v="5.3"/>
    <s v="High School"/>
    <s v="Yes"/>
    <x v="0"/>
    <s v="No"/>
    <n v="77.8"/>
    <n v="88"/>
    <x v="1"/>
  </r>
  <r>
    <n v="729"/>
    <x v="0"/>
    <n v="3.7"/>
    <n v="92.4"/>
    <n v="7.3"/>
    <s v="Bachelors"/>
    <s v="Yes"/>
    <x v="0"/>
    <s v="No"/>
    <n v="63"/>
    <n v="85"/>
    <x v="1"/>
  </r>
  <r>
    <n v="730"/>
    <x v="1"/>
    <n v="4"/>
    <n v="79.900000000000006"/>
    <n v="7.1"/>
    <s v="PhD"/>
    <s v="Yes"/>
    <x v="1"/>
    <s v="No"/>
    <n v="99.4"/>
    <n v="98.9"/>
    <x v="0"/>
  </r>
  <r>
    <n v="731"/>
    <x v="0"/>
    <n v="7.1"/>
    <n v="82.7"/>
    <n v="6.6"/>
    <s v="Masters"/>
    <s v="Yes"/>
    <x v="1"/>
    <s v="No"/>
    <n v="93.8"/>
    <n v="100"/>
    <x v="0"/>
  </r>
  <r>
    <n v="732"/>
    <x v="0"/>
    <n v="3.4"/>
    <n v="75.099999999999994"/>
    <n v="5.9"/>
    <s v="Bachelors"/>
    <s v="No"/>
    <x v="1"/>
    <s v="No"/>
    <n v="70.099999999999994"/>
    <n v="85"/>
    <x v="1"/>
  </r>
  <r>
    <n v="733"/>
    <x v="0"/>
    <n v="3.8"/>
    <n v="59.4"/>
    <n v="8.1"/>
    <s v="None"/>
    <s v="No"/>
    <x v="1"/>
    <s v="No"/>
    <n v="74.599999999999994"/>
    <n v="74.3"/>
    <x v="3"/>
  </r>
  <r>
    <n v="734"/>
    <x v="1"/>
    <n v="5.0999999999999996"/>
    <n v="83.1"/>
    <n v="8.8000000000000007"/>
    <s v="Masters"/>
    <s v="Yes"/>
    <x v="1"/>
    <s v="No"/>
    <n v="86.3"/>
    <n v="99.6"/>
    <x v="0"/>
  </r>
  <r>
    <n v="735"/>
    <x v="1"/>
    <n v="5.2"/>
    <n v="100"/>
    <n v="6.2"/>
    <s v="None"/>
    <s v="Yes"/>
    <x v="1"/>
    <s v="Yes"/>
    <n v="68.2"/>
    <n v="79.8"/>
    <x v="3"/>
  </r>
  <r>
    <n v="736"/>
    <x v="0"/>
    <n v="5.3"/>
    <n v="92.8"/>
    <n v="6.1"/>
    <s v="Bachelors"/>
    <s v="Yes"/>
    <x v="0"/>
    <s v="No"/>
    <n v="62.1"/>
    <n v="91.3"/>
    <x v="0"/>
  </r>
  <r>
    <n v="737"/>
    <x v="1"/>
    <n v="4.5"/>
    <n v="84.8"/>
    <n v="7.4"/>
    <s v="High School"/>
    <s v="No"/>
    <x v="0"/>
    <s v="No"/>
    <n v="80.5"/>
    <n v="95"/>
    <x v="0"/>
  </r>
  <r>
    <n v="738"/>
    <x v="0"/>
    <n v="1.8"/>
    <n v="82.4"/>
    <n v="6.4"/>
    <s v="High School"/>
    <s v="Yes"/>
    <x v="1"/>
    <s v="Yes"/>
    <n v="70.900000000000006"/>
    <n v="66.599999999999994"/>
    <x v="2"/>
  </r>
  <r>
    <n v="739"/>
    <x v="0"/>
    <n v="6"/>
    <n v="85.2"/>
    <n v="6.6"/>
    <s v="Masters"/>
    <s v="Yes"/>
    <x v="0"/>
    <s v="No"/>
    <n v="72.2"/>
    <n v="93.1"/>
    <x v="0"/>
  </r>
  <r>
    <n v="740"/>
    <x v="1"/>
    <n v="1.8"/>
    <n v="90.5"/>
    <n v="7.7"/>
    <s v="High School"/>
    <s v="Yes"/>
    <x v="0"/>
    <s v="No"/>
    <n v="60"/>
    <n v="81.8"/>
    <x v="1"/>
  </r>
  <r>
    <n v="741"/>
    <x v="0"/>
    <n v="4"/>
    <n v="73.2"/>
    <n v="4.5"/>
    <s v="High School"/>
    <s v="Yes"/>
    <x v="1"/>
    <s v="No"/>
    <n v="49.4"/>
    <n v="62.9"/>
    <x v="2"/>
  </r>
  <r>
    <n v="742"/>
    <x v="1"/>
    <n v="2.4"/>
    <n v="96.1"/>
    <n v="8.4"/>
    <s v="Bachelors"/>
    <s v="Yes"/>
    <x v="0"/>
    <s v="No"/>
    <n v="72.8"/>
    <n v="94"/>
    <x v="0"/>
  </r>
  <r>
    <n v="743"/>
    <x v="1"/>
    <n v="3.4"/>
    <n v="92.2"/>
    <n v="6.9"/>
    <s v="Bachelors"/>
    <s v="Yes"/>
    <x v="1"/>
    <s v="Yes"/>
    <n v="80.900000000000006"/>
    <n v="85"/>
    <x v="1"/>
  </r>
  <r>
    <n v="744"/>
    <x v="0"/>
    <n v="4"/>
    <n v="92.2"/>
    <n v="6.3"/>
    <s v="Bachelors"/>
    <s v="Yes"/>
    <x v="1"/>
    <s v="Yes"/>
    <n v="67.3"/>
    <n v="82.4"/>
    <x v="1"/>
  </r>
  <r>
    <n v="745"/>
    <x v="0"/>
    <n v="4"/>
    <n v="89.4"/>
    <n v="6.7"/>
    <s v="High School"/>
    <s v="Yes"/>
    <x v="0"/>
    <s v="No"/>
    <n v="87.2"/>
    <n v="89.5"/>
    <x v="1"/>
  </r>
  <r>
    <n v="746"/>
    <x v="1"/>
    <n v="4.0999999999999996"/>
    <n v="85.2"/>
    <n v="6.8"/>
    <s v="Bachelors"/>
    <s v="Yes"/>
    <x v="1"/>
    <s v="Yes"/>
    <n v="61.6"/>
    <n v="83.3"/>
    <x v="1"/>
  </r>
  <r>
    <n v="747"/>
    <x v="0"/>
    <n v="5.9"/>
    <n v="91.7"/>
    <n v="4.7"/>
    <s v="Bachelors"/>
    <s v="Yes"/>
    <x v="0"/>
    <s v="Yes"/>
    <n v="57.3"/>
    <n v="100"/>
    <x v="0"/>
  </r>
  <r>
    <n v="748"/>
    <x v="0"/>
    <n v="4.2"/>
    <n v="90.9"/>
    <n v="8.6"/>
    <s v="None"/>
    <s v="No"/>
    <x v="0"/>
    <s v="No"/>
    <n v="69.2"/>
    <n v="92.4"/>
    <x v="0"/>
  </r>
  <r>
    <n v="749"/>
    <x v="0"/>
    <n v="3.1"/>
    <n v="81.5"/>
    <n v="6.8"/>
    <s v="Masters"/>
    <s v="Yes"/>
    <x v="0"/>
    <s v="No"/>
    <n v="69"/>
    <n v="77"/>
    <x v="3"/>
  </r>
  <r>
    <n v="750"/>
    <x v="1"/>
    <n v="4.9000000000000004"/>
    <n v="79.3"/>
    <n v="7.3"/>
    <s v="None"/>
    <s v="No"/>
    <x v="1"/>
    <s v="No"/>
    <n v="79.2"/>
    <n v="95.1"/>
    <x v="0"/>
  </r>
  <r>
    <n v="751"/>
    <x v="1"/>
    <n v="5.3"/>
    <n v="86"/>
    <n v="7.9"/>
    <s v="Masters"/>
    <s v="Yes"/>
    <x v="1"/>
    <s v="No"/>
    <n v="60.7"/>
    <n v="88.8"/>
    <x v="1"/>
  </r>
  <r>
    <n v="752"/>
    <x v="0"/>
    <n v="1.7"/>
    <n v="100"/>
    <n v="5.6"/>
    <s v="Bachelors"/>
    <s v="Yes"/>
    <x v="0"/>
    <s v="Yes"/>
    <n v="86.4"/>
    <n v="93.2"/>
    <x v="0"/>
  </r>
  <r>
    <n v="753"/>
    <x v="1"/>
    <n v="4.4000000000000004"/>
    <n v="72.599999999999994"/>
    <n v="7.4"/>
    <s v="High School"/>
    <s v="Yes"/>
    <x v="1"/>
    <s v="Yes"/>
    <n v="93.6"/>
    <n v="96.4"/>
    <x v="0"/>
  </r>
  <r>
    <n v="754"/>
    <x v="1"/>
    <n v="4.5999999999999996"/>
    <n v="70.3"/>
    <n v="6.5"/>
    <s v="Masters"/>
    <s v="Yes"/>
    <x v="0"/>
    <s v="No"/>
    <n v="69.5"/>
    <n v="67.2"/>
    <x v="2"/>
  </r>
  <r>
    <n v="755"/>
    <x v="1"/>
    <n v="3.1"/>
    <n v="86.6"/>
    <n v="7.8"/>
    <s v="Bachelors"/>
    <s v="Yes"/>
    <x v="1"/>
    <s v="No"/>
    <n v="85"/>
    <n v="84.6"/>
    <x v="1"/>
  </r>
  <r>
    <n v="756"/>
    <x v="1"/>
    <n v="5.6"/>
    <n v="85.5"/>
    <n v="4.2"/>
    <s v="Bachelors"/>
    <s v="Yes"/>
    <x v="0"/>
    <s v="Yes"/>
    <n v="57.3"/>
    <n v="89.8"/>
    <x v="1"/>
  </r>
  <r>
    <n v="757"/>
    <x v="1"/>
    <n v="3.3"/>
    <n v="86.7"/>
    <n v="6.7"/>
    <s v="Bachelors"/>
    <s v="Yes"/>
    <x v="1"/>
    <s v="No"/>
    <n v="82.9"/>
    <n v="90.3"/>
    <x v="0"/>
  </r>
  <r>
    <n v="758"/>
    <x v="0"/>
    <n v="3.7"/>
    <n v="87.4"/>
    <n v="6.1"/>
    <s v="Bachelors"/>
    <s v="Yes"/>
    <x v="0"/>
    <s v="Yes"/>
    <n v="82.6"/>
    <n v="82.5"/>
    <x v="1"/>
  </r>
  <r>
    <n v="759"/>
    <x v="0"/>
    <n v="3.2"/>
    <n v="82.8"/>
    <n v="7.3"/>
    <s v="High School"/>
    <s v="Yes"/>
    <x v="0"/>
    <s v="No"/>
    <n v="80.400000000000006"/>
    <n v="84.5"/>
    <x v="1"/>
  </r>
  <r>
    <n v="760"/>
    <x v="0"/>
    <n v="3.5"/>
    <n v="99.9"/>
    <n v="7.4"/>
    <s v="Bachelors"/>
    <s v="No"/>
    <x v="0"/>
    <s v="Yes"/>
    <n v="69.8"/>
    <n v="72.099999999999994"/>
    <x v="3"/>
  </r>
  <r>
    <n v="761"/>
    <x v="1"/>
    <n v="1.9"/>
    <n v="69"/>
    <n v="6"/>
    <s v="High School"/>
    <s v="Yes"/>
    <x v="1"/>
    <s v="Yes"/>
    <n v="34.5"/>
    <n v="53.2"/>
    <x v="4"/>
  </r>
  <r>
    <n v="762"/>
    <x v="1"/>
    <n v="1.3"/>
    <n v="76.7"/>
    <n v="5.9"/>
    <s v="Masters"/>
    <s v="No"/>
    <x v="0"/>
    <s v="Yes"/>
    <n v="62.3"/>
    <n v="74"/>
    <x v="3"/>
  </r>
  <r>
    <n v="763"/>
    <x v="0"/>
    <n v="5.9"/>
    <n v="84"/>
    <n v="6.7"/>
    <s v="High School"/>
    <s v="Yes"/>
    <x v="1"/>
    <s v="No"/>
    <n v="62.5"/>
    <n v="96.8"/>
    <x v="0"/>
  </r>
  <r>
    <n v="764"/>
    <x v="1"/>
    <n v="2.2000000000000002"/>
    <n v="68.599999999999994"/>
    <n v="5.7"/>
    <s v="High School"/>
    <s v="Yes"/>
    <x v="0"/>
    <s v="No"/>
    <n v="58.3"/>
    <n v="81.2"/>
    <x v="1"/>
  </r>
  <r>
    <n v="765"/>
    <x v="0"/>
    <n v="2"/>
    <n v="83.2"/>
    <n v="7.8"/>
    <s v="Bachelors"/>
    <s v="Yes"/>
    <x v="0"/>
    <s v="No"/>
    <n v="71.5"/>
    <n v="85.4"/>
    <x v="1"/>
  </r>
  <r>
    <n v="766"/>
    <x v="0"/>
    <n v="0.5"/>
    <n v="100"/>
    <n v="6.4"/>
    <s v="Masters"/>
    <s v="Yes"/>
    <x v="0"/>
    <s v="No"/>
    <n v="65"/>
    <n v="81.099999999999994"/>
    <x v="1"/>
  </r>
  <r>
    <n v="767"/>
    <x v="0"/>
    <n v="2.5"/>
    <n v="85.2"/>
    <n v="3.3"/>
    <s v="Bachelors"/>
    <s v="Yes"/>
    <x v="1"/>
    <s v="No"/>
    <n v="60.1"/>
    <n v="83.9"/>
    <x v="1"/>
  </r>
  <r>
    <n v="768"/>
    <x v="1"/>
    <n v="1.5"/>
    <n v="87.3"/>
    <n v="6.4"/>
    <s v="High School"/>
    <s v="Yes"/>
    <x v="0"/>
    <s v="Yes"/>
    <n v="57.3"/>
    <n v="71.2"/>
    <x v="3"/>
  </r>
  <r>
    <n v="769"/>
    <x v="1"/>
    <n v="6"/>
    <n v="72.400000000000006"/>
    <n v="5.6"/>
    <s v="Bachelors"/>
    <s v="Yes"/>
    <x v="1"/>
    <s v="No"/>
    <n v="61.4"/>
    <n v="85.5"/>
    <x v="1"/>
  </r>
  <r>
    <n v="770"/>
    <x v="0"/>
    <n v="5"/>
    <n v="78.8"/>
    <n v="4.8"/>
    <s v="High School"/>
    <s v="Yes"/>
    <x v="1"/>
    <s v="No"/>
    <n v="83.5"/>
    <n v="98.4"/>
    <x v="0"/>
  </r>
  <r>
    <n v="771"/>
    <x v="0"/>
    <n v="2.5"/>
    <n v="81.2"/>
    <n v="5.3"/>
    <s v="None"/>
    <s v="Yes"/>
    <x v="1"/>
    <s v="No"/>
    <n v="62.1"/>
    <n v="82.6"/>
    <x v="1"/>
  </r>
  <r>
    <n v="772"/>
    <x v="0"/>
    <n v="6.9"/>
    <n v="81.8"/>
    <n v="6.9"/>
    <s v="None"/>
    <s v="Yes"/>
    <x v="0"/>
    <s v="Yes"/>
    <n v="63.8"/>
    <n v="91.6"/>
    <x v="0"/>
  </r>
  <r>
    <n v="773"/>
    <x v="0"/>
    <n v="5"/>
    <n v="97.8"/>
    <n v="8.4"/>
    <s v="Bachelors"/>
    <s v="Yes"/>
    <x v="1"/>
    <s v="No"/>
    <n v="64.5"/>
    <n v="91.3"/>
    <x v="0"/>
  </r>
  <r>
    <n v="774"/>
    <x v="1"/>
    <n v="3"/>
    <n v="90.6"/>
    <n v="7.2"/>
    <s v="High School"/>
    <s v="Yes"/>
    <x v="1"/>
    <s v="Yes"/>
    <n v="74.099999999999994"/>
    <n v="84.3"/>
    <x v="1"/>
  </r>
  <r>
    <n v="775"/>
    <x v="1"/>
    <n v="0.5"/>
    <n v="73.900000000000006"/>
    <n v="6.1"/>
    <s v="Masters"/>
    <s v="Yes"/>
    <x v="0"/>
    <s v="No"/>
    <n v="75.5"/>
    <n v="74.599999999999994"/>
    <x v="3"/>
  </r>
  <r>
    <n v="776"/>
    <x v="0"/>
    <n v="6.9"/>
    <n v="87.5"/>
    <n v="7.3"/>
    <s v="High School"/>
    <s v="Yes"/>
    <x v="1"/>
    <s v="Yes"/>
    <n v="33.5"/>
    <n v="88.6"/>
    <x v="1"/>
  </r>
  <r>
    <n v="777"/>
    <x v="0"/>
    <n v="1.4"/>
    <n v="90"/>
    <n v="6.2"/>
    <s v="Bachelors"/>
    <s v="Yes"/>
    <x v="0"/>
    <s v="No"/>
    <n v="82.3"/>
    <n v="73.599999999999994"/>
    <x v="3"/>
  </r>
  <r>
    <n v="778"/>
    <x v="1"/>
    <n v="1"/>
    <n v="96.4"/>
    <n v="6"/>
    <s v="High School"/>
    <s v="Yes"/>
    <x v="0"/>
    <s v="No"/>
    <n v="87.2"/>
    <n v="95.8"/>
    <x v="0"/>
  </r>
  <r>
    <n v="779"/>
    <x v="1"/>
    <n v="5"/>
    <n v="100"/>
    <n v="5.4"/>
    <s v="None"/>
    <s v="Yes"/>
    <x v="0"/>
    <s v="No"/>
    <n v="57.4"/>
    <n v="87.1"/>
    <x v="1"/>
  </r>
  <r>
    <n v="780"/>
    <x v="0"/>
    <n v="7.2"/>
    <n v="74.8"/>
    <n v="4.7"/>
    <s v="High School"/>
    <s v="Yes"/>
    <x v="0"/>
    <s v="No"/>
    <n v="58.3"/>
    <n v="89.9"/>
    <x v="1"/>
  </r>
  <r>
    <n v="781"/>
    <x v="0"/>
    <n v="5.6"/>
    <n v="76.900000000000006"/>
    <n v="6.3"/>
    <s v="Bachelors"/>
    <s v="No"/>
    <x v="0"/>
    <s v="No"/>
    <n v="64.599999999999994"/>
    <n v="79.099999999999994"/>
    <x v="3"/>
  </r>
  <r>
    <n v="782"/>
    <x v="0"/>
    <n v="4.3"/>
    <n v="72.400000000000006"/>
    <n v="7"/>
    <s v="Masters"/>
    <s v="Yes"/>
    <x v="0"/>
    <s v="No"/>
    <n v="60.9"/>
    <n v="97.6"/>
    <x v="0"/>
  </r>
  <r>
    <n v="783"/>
    <x v="1"/>
    <n v="4.4000000000000004"/>
    <n v="82.7"/>
    <n v="6.7"/>
    <s v="Bachelors"/>
    <s v="Yes"/>
    <x v="1"/>
    <s v="No"/>
    <n v="72.7"/>
    <n v="90.3"/>
    <x v="0"/>
  </r>
  <r>
    <n v="784"/>
    <x v="1"/>
    <n v="4.8"/>
    <n v="89.7"/>
    <n v="6.3"/>
    <s v="High School"/>
    <s v="Yes"/>
    <x v="0"/>
    <s v="No"/>
    <n v="46.6"/>
    <n v="78.099999999999994"/>
    <x v="3"/>
  </r>
  <r>
    <n v="785"/>
    <x v="1"/>
    <n v="4.5999999999999996"/>
    <n v="94.9"/>
    <n v="5.7"/>
    <s v="None"/>
    <s v="Yes"/>
    <x v="0"/>
    <s v="No"/>
    <n v="56.6"/>
    <n v="92.6"/>
    <x v="0"/>
  </r>
  <r>
    <n v="786"/>
    <x v="0"/>
    <n v="3.9"/>
    <n v="84.2"/>
    <n v="7.5"/>
    <s v="Bachelors"/>
    <s v="Yes"/>
    <x v="0"/>
    <s v="Yes"/>
    <n v="88.5"/>
    <n v="97"/>
    <x v="0"/>
  </r>
  <r>
    <n v="787"/>
    <x v="0"/>
    <n v="3.7"/>
    <n v="81.8"/>
    <n v="5.2"/>
    <s v="Bachelors"/>
    <s v="Yes"/>
    <x v="1"/>
    <s v="No"/>
    <n v="58.9"/>
    <n v="77"/>
    <x v="3"/>
  </r>
  <r>
    <n v="788"/>
    <x v="1"/>
    <n v="3.4"/>
    <n v="86.5"/>
    <n v="7.7"/>
    <s v="High School"/>
    <s v="Yes"/>
    <x v="1"/>
    <s v="No"/>
    <n v="84.9"/>
    <n v="96.8"/>
    <x v="0"/>
  </r>
  <r>
    <n v="789"/>
    <x v="1"/>
    <n v="2.4"/>
    <n v="76.599999999999994"/>
    <n v="5.6"/>
    <s v="Bachelors"/>
    <s v="Yes"/>
    <x v="1"/>
    <s v="No"/>
    <n v="74.3"/>
    <n v="72.099999999999994"/>
    <x v="3"/>
  </r>
  <r>
    <n v="790"/>
    <x v="0"/>
    <n v="3.1"/>
    <n v="100"/>
    <n v="5.9"/>
    <s v="Bachelors"/>
    <s v="Yes"/>
    <x v="1"/>
    <s v="No"/>
    <n v="48.3"/>
    <n v="75.400000000000006"/>
    <x v="3"/>
  </r>
  <r>
    <n v="791"/>
    <x v="1"/>
    <n v="1"/>
    <n v="68.900000000000006"/>
    <n v="5"/>
    <s v="High School"/>
    <s v="Yes"/>
    <x v="0"/>
    <s v="No"/>
    <n v="77.599999999999994"/>
    <n v="57.6"/>
    <x v="4"/>
  </r>
  <r>
    <n v="792"/>
    <x v="1"/>
    <n v="3.4"/>
    <n v="86.8"/>
    <n v="6.2"/>
    <s v="High School"/>
    <s v="No"/>
    <x v="1"/>
    <s v="Yes"/>
    <n v="68.599999999999994"/>
    <n v="67.599999999999994"/>
    <x v="2"/>
  </r>
  <r>
    <n v="793"/>
    <x v="0"/>
    <n v="2"/>
    <n v="100"/>
    <n v="8"/>
    <s v="Masters"/>
    <s v="Yes"/>
    <x v="0"/>
    <s v="Yes"/>
    <n v="64.5"/>
    <n v="91.2"/>
    <x v="0"/>
  </r>
  <r>
    <n v="794"/>
    <x v="1"/>
    <n v="1.8"/>
    <n v="85.1"/>
    <n v="7.4"/>
    <s v="High School"/>
    <s v="Yes"/>
    <x v="0"/>
    <s v="Yes"/>
    <n v="72.900000000000006"/>
    <n v="86.8"/>
    <x v="1"/>
  </r>
  <r>
    <n v="795"/>
    <x v="0"/>
    <n v="3.8"/>
    <n v="83.1"/>
    <n v="8"/>
    <s v="High School"/>
    <s v="Yes"/>
    <x v="1"/>
    <s v="No"/>
    <n v="75.7"/>
    <n v="89.5"/>
    <x v="1"/>
  </r>
  <r>
    <n v="796"/>
    <x v="0"/>
    <n v="5.6"/>
    <n v="81.400000000000006"/>
    <n v="7.4"/>
    <s v="Bachelors"/>
    <s v="Yes"/>
    <x v="0"/>
    <s v="No"/>
    <n v="78.5"/>
    <n v="100"/>
    <x v="0"/>
  </r>
  <r>
    <n v="797"/>
    <x v="0"/>
    <n v="4.9000000000000004"/>
    <n v="83.2"/>
    <n v="5.5"/>
    <s v="Masters"/>
    <s v="Yes"/>
    <x v="1"/>
    <s v="No"/>
    <n v="84.1"/>
    <n v="93.4"/>
    <x v="0"/>
  </r>
  <r>
    <n v="798"/>
    <x v="0"/>
    <n v="1.1000000000000001"/>
    <n v="98.7"/>
    <n v="6.4"/>
    <s v="High School"/>
    <s v="Yes"/>
    <x v="1"/>
    <s v="No"/>
    <n v="74.900000000000006"/>
    <n v="78.7"/>
    <x v="3"/>
  </r>
  <r>
    <n v="799"/>
    <x v="0"/>
    <n v="2"/>
    <n v="62.9"/>
    <n v="5.9"/>
    <s v="Bachelors"/>
    <s v="Yes"/>
    <x v="0"/>
    <s v="Yes"/>
    <n v="53.5"/>
    <n v="60.8"/>
    <x v="2"/>
  </r>
  <r>
    <n v="800"/>
    <x v="0"/>
    <n v="4.9000000000000004"/>
    <n v="100"/>
    <n v="8.4"/>
    <s v="High School"/>
    <s v="Yes"/>
    <x v="0"/>
    <s v="No"/>
    <n v="64.3"/>
    <n v="96.1"/>
    <x v="0"/>
  </r>
  <r>
    <n v="801"/>
    <x v="0"/>
    <n v="2"/>
    <n v="70.8"/>
    <n v="5.4"/>
    <s v="High School"/>
    <s v="Yes"/>
    <x v="0"/>
    <s v="No"/>
    <n v="100"/>
    <n v="83"/>
    <x v="1"/>
  </r>
  <r>
    <n v="802"/>
    <x v="1"/>
    <n v="3.2"/>
    <n v="82.3"/>
    <n v="7.9"/>
    <s v="High School"/>
    <s v="Yes"/>
    <x v="1"/>
    <s v="No"/>
    <n v="78.7"/>
    <n v="94"/>
    <x v="0"/>
  </r>
  <r>
    <n v="803"/>
    <x v="0"/>
    <n v="4.3"/>
    <n v="80.7"/>
    <n v="7.9"/>
    <s v="Masters"/>
    <s v="Yes"/>
    <x v="1"/>
    <s v="No"/>
    <n v="98.4"/>
    <n v="100"/>
    <x v="0"/>
  </r>
  <r>
    <n v="804"/>
    <x v="0"/>
    <n v="2"/>
    <n v="90.9"/>
    <n v="9"/>
    <s v="High School"/>
    <s v="Yes"/>
    <x v="0"/>
    <s v="No"/>
    <n v="86.7"/>
    <n v="94.6"/>
    <x v="0"/>
  </r>
  <r>
    <n v="805"/>
    <x v="1"/>
    <n v="3.7"/>
    <n v="69"/>
    <n v="6.3"/>
    <s v="High School"/>
    <s v="Yes"/>
    <x v="0"/>
    <s v="No"/>
    <n v="72.900000000000006"/>
    <n v="87.7"/>
    <x v="1"/>
  </r>
  <r>
    <n v="806"/>
    <x v="1"/>
    <n v="1.5"/>
    <n v="89.6"/>
    <n v="7.7"/>
    <s v="Bachelors"/>
    <s v="Yes"/>
    <x v="1"/>
    <s v="No"/>
    <n v="73.599999999999994"/>
    <n v="82.1"/>
    <x v="1"/>
  </r>
  <r>
    <n v="807"/>
    <x v="1"/>
    <n v="2.6"/>
    <n v="100"/>
    <n v="9.5"/>
    <s v="Masters"/>
    <s v="Yes"/>
    <x v="1"/>
    <s v="Yes"/>
    <n v="69.599999999999994"/>
    <n v="80.099999999999994"/>
    <x v="1"/>
  </r>
  <r>
    <n v="808"/>
    <x v="0"/>
    <n v="4"/>
    <n v="71.400000000000006"/>
    <n v="6.1"/>
    <s v="High School"/>
    <s v="No"/>
    <x v="0"/>
    <s v="Yes"/>
    <n v="49.1"/>
    <n v="57.8"/>
    <x v="4"/>
  </r>
  <r>
    <n v="809"/>
    <x v="1"/>
    <n v="1.1000000000000001"/>
    <n v="86.9"/>
    <n v="5"/>
    <s v="Bachelors"/>
    <s v="Yes"/>
    <x v="0"/>
    <s v="No"/>
    <n v="70.2"/>
    <n v="74.3"/>
    <x v="3"/>
  </r>
  <r>
    <n v="810"/>
    <x v="0"/>
    <n v="4.2"/>
    <n v="78.400000000000006"/>
    <n v="4.5"/>
    <s v="High School"/>
    <s v="No"/>
    <x v="1"/>
    <s v="No"/>
    <n v="84.5"/>
    <n v="82.5"/>
    <x v="1"/>
  </r>
  <r>
    <n v="811"/>
    <x v="0"/>
    <n v="3.5"/>
    <n v="89.3"/>
    <n v="7.7"/>
    <s v="Bachelors"/>
    <s v="Yes"/>
    <x v="0"/>
    <s v="No"/>
    <n v="62.8"/>
    <n v="85.9"/>
    <x v="1"/>
  </r>
  <r>
    <n v="812"/>
    <x v="0"/>
    <n v="4.3"/>
    <n v="85.2"/>
    <n v="4.5"/>
    <s v="Bachelors"/>
    <s v="Yes"/>
    <x v="0"/>
    <s v="No"/>
    <n v="74.900000000000006"/>
    <n v="88.4"/>
    <x v="1"/>
  </r>
  <r>
    <n v="813"/>
    <x v="0"/>
    <n v="3.8"/>
    <n v="78.599999999999994"/>
    <n v="6.4"/>
    <s v="Bachelors"/>
    <s v="Yes"/>
    <x v="1"/>
    <s v="No"/>
    <n v="80.2"/>
    <n v="100"/>
    <x v="0"/>
  </r>
  <r>
    <n v="814"/>
    <x v="1"/>
    <n v="5.5"/>
    <n v="89.9"/>
    <n v="7.3"/>
    <s v="High School"/>
    <s v="No"/>
    <x v="1"/>
    <s v="Yes"/>
    <n v="59.1"/>
    <n v="75.599999999999994"/>
    <x v="3"/>
  </r>
  <r>
    <n v="815"/>
    <x v="1"/>
    <n v="3.7"/>
    <n v="100"/>
    <n v="7"/>
    <s v="High School"/>
    <s v="Yes"/>
    <x v="0"/>
    <s v="No"/>
    <n v="64.599999999999994"/>
    <n v="78"/>
    <x v="3"/>
  </r>
  <r>
    <n v="816"/>
    <x v="0"/>
    <n v="2.9"/>
    <n v="83.1"/>
    <n v="7.3"/>
    <s v="High School"/>
    <s v="Yes"/>
    <x v="0"/>
    <s v="No"/>
    <n v="57.8"/>
    <n v="80"/>
    <x v="1"/>
  </r>
  <r>
    <n v="817"/>
    <x v="0"/>
    <n v="3.7"/>
    <n v="92.2"/>
    <n v="7.1"/>
    <s v="Bachelors"/>
    <s v="Yes"/>
    <x v="0"/>
    <s v="Yes"/>
    <n v="60.1"/>
    <n v="80.2"/>
    <x v="1"/>
  </r>
  <r>
    <n v="818"/>
    <x v="0"/>
    <n v="4.3"/>
    <n v="72.099999999999994"/>
    <n v="8.3000000000000007"/>
    <s v="High School"/>
    <s v="Yes"/>
    <x v="0"/>
    <s v="No"/>
    <n v="54.5"/>
    <n v="82.2"/>
    <x v="1"/>
  </r>
  <r>
    <n v="819"/>
    <x v="1"/>
    <n v="3.6"/>
    <n v="75.400000000000006"/>
    <n v="5.7"/>
    <s v="Masters"/>
    <s v="Yes"/>
    <x v="1"/>
    <s v="No"/>
    <n v="59.2"/>
    <n v="79.599999999999994"/>
    <x v="3"/>
  </r>
  <r>
    <n v="820"/>
    <x v="0"/>
    <n v="3.6"/>
    <n v="89.7"/>
    <n v="6"/>
    <s v="None"/>
    <s v="No"/>
    <x v="0"/>
    <s v="No"/>
    <n v="87"/>
    <n v="96.3"/>
    <x v="0"/>
  </r>
  <r>
    <n v="821"/>
    <x v="0"/>
    <n v="2.4"/>
    <n v="99.8"/>
    <n v="5.9"/>
    <s v="None"/>
    <s v="No"/>
    <x v="1"/>
    <s v="No"/>
    <n v="59"/>
    <n v="65.400000000000006"/>
    <x v="2"/>
  </r>
  <r>
    <n v="822"/>
    <x v="1"/>
    <n v="2.5"/>
    <n v="88.6"/>
    <n v="7.8"/>
    <s v="PhD"/>
    <s v="Yes"/>
    <x v="1"/>
    <s v="No"/>
    <n v="71.5"/>
    <n v="79.900000000000006"/>
    <x v="3"/>
  </r>
  <r>
    <n v="823"/>
    <x v="1"/>
    <n v="1.4"/>
    <n v="81.900000000000006"/>
    <n v="7.9"/>
    <s v="Bachelors"/>
    <s v="No"/>
    <x v="0"/>
    <s v="No"/>
    <n v="64"/>
    <n v="71.599999999999994"/>
    <x v="3"/>
  </r>
  <r>
    <n v="824"/>
    <x v="0"/>
    <n v="6.1"/>
    <n v="85"/>
    <n v="7.3"/>
    <s v="Masters"/>
    <s v="Yes"/>
    <x v="0"/>
    <s v="No"/>
    <n v="84.1"/>
    <n v="100"/>
    <x v="0"/>
  </r>
  <r>
    <n v="825"/>
    <x v="1"/>
    <n v="1.6"/>
    <n v="72.5"/>
    <n v="8.1999999999999993"/>
    <s v="High School"/>
    <s v="Yes"/>
    <x v="0"/>
    <s v="No"/>
    <n v="85.7"/>
    <n v="93.9"/>
    <x v="0"/>
  </r>
  <r>
    <n v="826"/>
    <x v="1"/>
    <n v="2.5"/>
    <n v="91"/>
    <n v="5.4"/>
    <s v="Bachelors"/>
    <s v="Yes"/>
    <x v="1"/>
    <s v="Yes"/>
    <n v="80.400000000000006"/>
    <n v="87.5"/>
    <x v="1"/>
  </r>
  <r>
    <n v="827"/>
    <x v="0"/>
    <n v="2.4"/>
    <n v="93.8"/>
    <n v="8.8000000000000007"/>
    <s v="Bachelors"/>
    <s v="Yes"/>
    <x v="1"/>
    <s v="No"/>
    <n v="73.7"/>
    <n v="86.3"/>
    <x v="1"/>
  </r>
  <r>
    <n v="828"/>
    <x v="1"/>
    <n v="4.8"/>
    <n v="80.5"/>
    <n v="8.6"/>
    <s v="Bachelors"/>
    <s v="No"/>
    <x v="0"/>
    <s v="Yes"/>
    <n v="67.2"/>
    <n v="77.599999999999994"/>
    <x v="3"/>
  </r>
  <r>
    <n v="829"/>
    <x v="0"/>
    <n v="3.1"/>
    <n v="80.3"/>
    <n v="7.7"/>
    <s v="Masters"/>
    <s v="Yes"/>
    <x v="1"/>
    <s v="Yes"/>
    <n v="55.7"/>
    <n v="70.2"/>
    <x v="3"/>
  </r>
  <r>
    <n v="830"/>
    <x v="1"/>
    <n v="5.4"/>
    <n v="87.7"/>
    <n v="8.9"/>
    <s v="High School"/>
    <s v="Yes"/>
    <x v="1"/>
    <s v="No"/>
    <n v="93.3"/>
    <n v="100"/>
    <x v="0"/>
  </r>
  <r>
    <n v="831"/>
    <x v="0"/>
    <n v="2.5"/>
    <n v="80.599999999999994"/>
    <n v="4.8"/>
    <s v="High School"/>
    <s v="Yes"/>
    <x v="1"/>
    <s v="Yes"/>
    <n v="60.9"/>
    <n v="73.5"/>
    <x v="3"/>
  </r>
  <r>
    <n v="832"/>
    <x v="0"/>
    <n v="3.9"/>
    <n v="84.3"/>
    <n v="6.2"/>
    <s v="None"/>
    <s v="Yes"/>
    <x v="0"/>
    <s v="No"/>
    <n v="78"/>
    <n v="91.2"/>
    <x v="0"/>
  </r>
  <r>
    <n v="833"/>
    <x v="0"/>
    <n v="2.2000000000000002"/>
    <n v="100"/>
    <n v="5.9"/>
    <s v="High School"/>
    <s v="Yes"/>
    <x v="0"/>
    <s v="Yes"/>
    <n v="82.7"/>
    <n v="78.099999999999994"/>
    <x v="3"/>
  </r>
  <r>
    <n v="834"/>
    <x v="1"/>
    <n v="6.7"/>
    <n v="82.5"/>
    <n v="7.7"/>
    <s v="Bachelors"/>
    <s v="No"/>
    <x v="1"/>
    <s v="No"/>
    <n v="63.3"/>
    <n v="89"/>
    <x v="1"/>
  </r>
  <r>
    <n v="835"/>
    <x v="0"/>
    <n v="1.7"/>
    <n v="81.400000000000006"/>
    <n v="5.5"/>
    <s v="None"/>
    <s v="Yes"/>
    <x v="0"/>
    <s v="Yes"/>
    <n v="82.5"/>
    <n v="82"/>
    <x v="1"/>
  </r>
  <r>
    <n v="836"/>
    <x v="1"/>
    <n v="4"/>
    <n v="78.5"/>
    <n v="7.7"/>
    <s v="Bachelors"/>
    <s v="Yes"/>
    <x v="0"/>
    <s v="Yes"/>
    <n v="79.2"/>
    <n v="89.5"/>
    <x v="1"/>
  </r>
  <r>
    <n v="837"/>
    <x v="0"/>
    <n v="4.5"/>
    <n v="92.4"/>
    <n v="8.4"/>
    <s v="Bachelors"/>
    <s v="Yes"/>
    <x v="0"/>
    <s v="Yes"/>
    <n v="90.7"/>
    <n v="100"/>
    <x v="0"/>
  </r>
  <r>
    <n v="838"/>
    <x v="0"/>
    <n v="4.0999999999999996"/>
    <n v="83.2"/>
    <n v="7.6"/>
    <s v="High School"/>
    <s v="Yes"/>
    <x v="0"/>
    <s v="No"/>
    <n v="64.400000000000006"/>
    <n v="88.7"/>
    <x v="1"/>
  </r>
  <r>
    <n v="839"/>
    <x v="1"/>
    <n v="3.2"/>
    <n v="78.5"/>
    <n v="7.1"/>
    <s v="High School"/>
    <s v="Yes"/>
    <x v="0"/>
    <s v="No"/>
    <n v="54.6"/>
    <n v="86"/>
    <x v="1"/>
  </r>
  <r>
    <n v="840"/>
    <x v="0"/>
    <n v="3.3"/>
    <n v="98.2"/>
    <n v="5.6"/>
    <s v="PhD"/>
    <s v="Yes"/>
    <x v="1"/>
    <s v="Yes"/>
    <n v="63.9"/>
    <n v="82.9"/>
    <x v="1"/>
  </r>
  <r>
    <n v="841"/>
    <x v="0"/>
    <n v="3.6"/>
    <n v="99.2"/>
    <n v="5.8"/>
    <s v="Bachelors"/>
    <s v="Yes"/>
    <x v="0"/>
    <s v="No"/>
    <n v="72.5"/>
    <n v="88.6"/>
    <x v="1"/>
  </r>
  <r>
    <n v="842"/>
    <x v="1"/>
    <n v="3.3"/>
    <n v="79"/>
    <n v="8.3000000000000007"/>
    <s v="Bachelors"/>
    <s v="Yes"/>
    <x v="0"/>
    <s v="No"/>
    <n v="70.7"/>
    <n v="79.2"/>
    <x v="3"/>
  </r>
  <r>
    <n v="843"/>
    <x v="0"/>
    <n v="4.9000000000000004"/>
    <n v="66.3"/>
    <n v="7.7"/>
    <s v="High School"/>
    <s v="Yes"/>
    <x v="1"/>
    <s v="No"/>
    <n v="65.3"/>
    <n v="85.1"/>
    <x v="1"/>
  </r>
  <r>
    <n v="844"/>
    <x v="0"/>
    <n v="6.8"/>
    <n v="95.1"/>
    <n v="6.8"/>
    <s v="High School"/>
    <s v="Yes"/>
    <x v="0"/>
    <s v="No"/>
    <n v="47.1"/>
    <n v="80.2"/>
    <x v="1"/>
  </r>
  <r>
    <n v="845"/>
    <x v="0"/>
    <n v="2.7"/>
    <n v="78.2"/>
    <n v="6.3"/>
    <s v="None"/>
    <s v="Yes"/>
    <x v="0"/>
    <s v="No"/>
    <n v="75.599999999999994"/>
    <n v="80.2"/>
    <x v="1"/>
  </r>
  <r>
    <n v="846"/>
    <x v="0"/>
    <n v="1.4"/>
    <n v="92.9"/>
    <n v="4.4000000000000004"/>
    <s v="Bachelors"/>
    <s v="Yes"/>
    <x v="1"/>
    <s v="Yes"/>
    <n v="93.7"/>
    <n v="80.3"/>
    <x v="1"/>
  </r>
  <r>
    <n v="847"/>
    <x v="1"/>
    <n v="3.4"/>
    <n v="65.3"/>
    <n v="5.5"/>
    <s v="Bachelors"/>
    <s v="Yes"/>
    <x v="1"/>
    <s v="No"/>
    <n v="75.599999999999994"/>
    <n v="69.8"/>
    <x v="2"/>
  </r>
  <r>
    <n v="848"/>
    <x v="1"/>
    <n v="7.4"/>
    <n v="93.9"/>
    <n v="9.1"/>
    <s v="High School"/>
    <s v="No"/>
    <x v="1"/>
    <s v="No"/>
    <n v="77.3"/>
    <n v="100"/>
    <x v="0"/>
  </r>
  <r>
    <n v="849"/>
    <x v="0"/>
    <n v="2.2999999999999998"/>
    <n v="72.900000000000006"/>
    <n v="5.3"/>
    <s v="Masters"/>
    <s v="Yes"/>
    <x v="1"/>
    <s v="No"/>
    <n v="76.900000000000006"/>
    <n v="80.8"/>
    <x v="1"/>
  </r>
  <r>
    <n v="850"/>
    <x v="1"/>
    <n v="6"/>
    <n v="92.3"/>
    <n v="7"/>
    <s v="None"/>
    <s v="Yes"/>
    <x v="0"/>
    <s v="Yes"/>
    <n v="74.8"/>
    <n v="100"/>
    <x v="0"/>
  </r>
  <r>
    <n v="851"/>
    <x v="0"/>
    <n v="6"/>
    <n v="85.1"/>
    <n v="8"/>
    <s v="Bachelors"/>
    <s v="Yes"/>
    <x v="1"/>
    <s v="Yes"/>
    <n v="81.2"/>
    <n v="99.5"/>
    <x v="0"/>
  </r>
  <r>
    <n v="852"/>
    <x v="1"/>
    <n v="2.7"/>
    <n v="75.5"/>
    <n v="5.3"/>
    <s v="High School"/>
    <s v="Yes"/>
    <x v="0"/>
    <s v="No"/>
    <n v="74.7"/>
    <n v="80.7"/>
    <x v="1"/>
  </r>
  <r>
    <n v="853"/>
    <x v="0"/>
    <n v="4.4000000000000004"/>
    <n v="80.900000000000006"/>
    <n v="7"/>
    <s v="Bachelors"/>
    <s v="Yes"/>
    <x v="1"/>
    <s v="No"/>
    <n v="66.2"/>
    <n v="86.6"/>
    <x v="1"/>
  </r>
  <r>
    <n v="854"/>
    <x v="0"/>
    <n v="5.9"/>
    <n v="91.9"/>
    <n v="7.9"/>
    <s v="Masters"/>
    <s v="No"/>
    <x v="0"/>
    <s v="No"/>
    <n v="60.4"/>
    <n v="98.8"/>
    <x v="0"/>
  </r>
  <r>
    <n v="855"/>
    <x v="0"/>
    <n v="2.9"/>
    <n v="86.1"/>
    <n v="6.8"/>
    <s v="Bachelors"/>
    <s v="Yes"/>
    <x v="1"/>
    <s v="No"/>
    <n v="67"/>
    <n v="81.900000000000006"/>
    <x v="1"/>
  </r>
  <r>
    <n v="856"/>
    <x v="0"/>
    <n v="3.2"/>
    <n v="90.8"/>
    <n v="10"/>
    <s v="PhD"/>
    <s v="Yes"/>
    <x v="1"/>
    <s v="Yes"/>
    <n v="73.8"/>
    <n v="79"/>
    <x v="3"/>
  </r>
  <r>
    <n v="857"/>
    <x v="0"/>
    <n v="2.6"/>
    <n v="100"/>
    <n v="4.8"/>
    <s v="Bachelors"/>
    <s v="Yes"/>
    <x v="1"/>
    <s v="No"/>
    <n v="66.2"/>
    <n v="91.7"/>
    <x v="0"/>
  </r>
  <r>
    <n v="858"/>
    <x v="0"/>
    <n v="2"/>
    <n v="69.400000000000006"/>
    <n v="8.1"/>
    <s v="PhD"/>
    <s v="Yes"/>
    <x v="0"/>
    <s v="No"/>
    <n v="73.8"/>
    <n v="78.8"/>
    <x v="3"/>
  </r>
  <r>
    <n v="859"/>
    <x v="1"/>
    <n v="2.5"/>
    <n v="100"/>
    <n v="6.6"/>
    <s v="Bachelors"/>
    <s v="Yes"/>
    <x v="0"/>
    <s v="No"/>
    <n v="75.3"/>
    <n v="84.8"/>
    <x v="1"/>
  </r>
  <r>
    <n v="860"/>
    <x v="0"/>
    <n v="1.7"/>
    <n v="86"/>
    <n v="7.7"/>
    <s v="High School"/>
    <s v="No"/>
    <x v="1"/>
    <s v="Yes"/>
    <n v="80"/>
    <n v="66.5"/>
    <x v="2"/>
  </r>
  <r>
    <n v="861"/>
    <x v="1"/>
    <n v="3.6"/>
    <n v="76"/>
    <n v="7.3"/>
    <s v="High School"/>
    <s v="Yes"/>
    <x v="1"/>
    <s v="No"/>
    <n v="85.4"/>
    <n v="91.1"/>
    <x v="0"/>
  </r>
  <r>
    <n v="862"/>
    <x v="0"/>
    <n v="2.2999999999999998"/>
    <n v="71.7"/>
    <n v="5.9"/>
    <s v="High School"/>
    <s v="Yes"/>
    <x v="0"/>
    <s v="No"/>
    <n v="70.900000000000006"/>
    <n v="74.2"/>
    <x v="3"/>
  </r>
  <r>
    <n v="863"/>
    <x v="1"/>
    <n v="3.9"/>
    <n v="83.1"/>
    <n v="7.1"/>
    <s v="None"/>
    <s v="Yes"/>
    <x v="1"/>
    <s v="Yes"/>
    <n v="54.3"/>
    <n v="86.3"/>
    <x v="1"/>
  </r>
  <r>
    <n v="864"/>
    <x v="1"/>
    <n v="1.2"/>
    <n v="94.2"/>
    <n v="4.5999999999999996"/>
    <s v="Masters"/>
    <s v="Yes"/>
    <x v="1"/>
    <s v="No"/>
    <n v="65.900000000000006"/>
    <n v="71.2"/>
    <x v="3"/>
  </r>
  <r>
    <n v="865"/>
    <x v="1"/>
    <n v="4"/>
    <n v="83.7"/>
    <n v="7.5"/>
    <s v="Masters"/>
    <s v="Yes"/>
    <x v="0"/>
    <s v="No"/>
    <n v="70.5"/>
    <n v="83.5"/>
    <x v="1"/>
  </r>
  <r>
    <n v="866"/>
    <x v="0"/>
    <n v="4.8"/>
    <n v="100"/>
    <n v="7.2"/>
    <s v="High School"/>
    <s v="Yes"/>
    <x v="1"/>
    <s v="Yes"/>
    <n v="48"/>
    <n v="89.8"/>
    <x v="1"/>
  </r>
  <r>
    <n v="867"/>
    <x v="0"/>
    <n v="0.5"/>
    <n v="70.5"/>
    <n v="7.6"/>
    <s v="High School"/>
    <s v="Yes"/>
    <x v="0"/>
    <s v="No"/>
    <n v="86.7"/>
    <n v="80.3"/>
    <x v="1"/>
  </r>
  <r>
    <n v="868"/>
    <x v="1"/>
    <n v="4.0999999999999996"/>
    <n v="84.9"/>
    <n v="8.1"/>
    <s v="Masters"/>
    <s v="Yes"/>
    <x v="0"/>
    <s v="No"/>
    <n v="71.7"/>
    <n v="91.6"/>
    <x v="0"/>
  </r>
  <r>
    <n v="869"/>
    <x v="0"/>
    <n v="5.3"/>
    <n v="72.5"/>
    <n v="7.2"/>
    <s v="Bachelors"/>
    <s v="Yes"/>
    <x v="0"/>
    <s v="No"/>
    <n v="74.599999999999994"/>
    <n v="95.8"/>
    <x v="0"/>
  </r>
  <r>
    <n v="870"/>
    <x v="1"/>
    <n v="1.7"/>
    <n v="88.6"/>
    <n v="7"/>
    <s v="High School"/>
    <s v="Yes"/>
    <x v="1"/>
    <s v="No"/>
    <n v="86.4"/>
    <n v="84.4"/>
    <x v="1"/>
  </r>
  <r>
    <n v="871"/>
    <x v="0"/>
    <n v="6"/>
    <n v="93.9"/>
    <n v="5.7"/>
    <s v="Bachelors"/>
    <s v="Yes"/>
    <x v="1"/>
    <s v="No"/>
    <n v="62.4"/>
    <n v="96.1"/>
    <x v="0"/>
  </r>
  <r>
    <n v="872"/>
    <x v="1"/>
    <n v="4.0999999999999996"/>
    <n v="80.8"/>
    <n v="5.9"/>
    <s v="High School"/>
    <s v="Yes"/>
    <x v="0"/>
    <s v="Yes"/>
    <n v="76.900000000000006"/>
    <n v="92.6"/>
    <x v="0"/>
  </r>
  <r>
    <n v="873"/>
    <x v="1"/>
    <n v="2.4"/>
    <n v="59"/>
    <n v="8.1999999999999993"/>
    <s v="High School"/>
    <s v="Yes"/>
    <x v="1"/>
    <s v="No"/>
    <n v="68.7"/>
    <n v="75.5"/>
    <x v="3"/>
  </r>
  <r>
    <n v="874"/>
    <x v="0"/>
    <n v="3.4"/>
    <n v="87"/>
    <n v="8.5"/>
    <s v="Bachelors"/>
    <s v="Yes"/>
    <x v="1"/>
    <s v="No"/>
    <n v="67.8"/>
    <n v="85.1"/>
    <x v="1"/>
  </r>
  <r>
    <n v="875"/>
    <x v="1"/>
    <n v="4.3"/>
    <n v="89.4"/>
    <n v="6.5"/>
    <s v="High School"/>
    <s v="Yes"/>
    <x v="1"/>
    <s v="No"/>
    <n v="60.7"/>
    <n v="93.8"/>
    <x v="0"/>
  </r>
  <r>
    <n v="876"/>
    <x v="0"/>
    <n v="3.6"/>
    <n v="89"/>
    <n v="6.9"/>
    <s v="None"/>
    <s v="Yes"/>
    <x v="0"/>
    <s v="No"/>
    <n v="90"/>
    <n v="81.400000000000006"/>
    <x v="1"/>
  </r>
  <r>
    <n v="877"/>
    <x v="1"/>
    <n v="4.3"/>
    <n v="97.4"/>
    <n v="5.7"/>
    <s v="High School"/>
    <s v="Yes"/>
    <x v="1"/>
    <s v="Yes"/>
    <n v="65.5"/>
    <n v="98.8"/>
    <x v="0"/>
  </r>
  <r>
    <n v="878"/>
    <x v="1"/>
    <n v="2.1"/>
    <n v="74.3"/>
    <n v="8.1999999999999993"/>
    <s v="High School"/>
    <s v="No"/>
    <x v="0"/>
    <s v="No"/>
    <n v="78.400000000000006"/>
    <n v="65.400000000000006"/>
    <x v="2"/>
  </r>
  <r>
    <n v="879"/>
    <x v="0"/>
    <n v="3.8"/>
    <n v="91.8"/>
    <n v="7.6"/>
    <s v="High School"/>
    <s v="Yes"/>
    <x v="0"/>
    <s v="No"/>
    <n v="47.5"/>
    <n v="77.599999999999994"/>
    <x v="3"/>
  </r>
  <r>
    <n v="880"/>
    <x v="0"/>
    <n v="1.4"/>
    <n v="96.9"/>
    <n v="9.1"/>
    <s v="Masters"/>
    <s v="Yes"/>
    <x v="0"/>
    <s v="Yes"/>
    <n v="84.2"/>
    <n v="85.6"/>
    <x v="1"/>
  </r>
  <r>
    <n v="881"/>
    <x v="0"/>
    <n v="3.3"/>
    <n v="67.2"/>
    <n v="5.7"/>
    <s v="Bachelors"/>
    <s v="Yes"/>
    <x v="0"/>
    <s v="No"/>
    <n v="82.6"/>
    <n v="81.400000000000006"/>
    <x v="1"/>
  </r>
  <r>
    <n v="882"/>
    <x v="1"/>
    <n v="2.1"/>
    <n v="88.2"/>
    <n v="6.3"/>
    <s v="Bachelors"/>
    <s v="Yes"/>
    <x v="1"/>
    <s v="No"/>
    <n v="71.2"/>
    <n v="85.4"/>
    <x v="1"/>
  </r>
  <r>
    <n v="883"/>
    <x v="0"/>
    <n v="2.4"/>
    <n v="80"/>
    <n v="7.1"/>
    <s v="High School"/>
    <s v="Yes"/>
    <x v="0"/>
    <s v="No"/>
    <n v="67.3"/>
    <n v="71.900000000000006"/>
    <x v="3"/>
  </r>
  <r>
    <n v="884"/>
    <x v="1"/>
    <n v="5.4"/>
    <n v="84.2"/>
    <n v="7.6"/>
    <s v="High School"/>
    <s v="Yes"/>
    <x v="1"/>
    <s v="Yes"/>
    <n v="74.8"/>
    <n v="94.4"/>
    <x v="0"/>
  </r>
  <r>
    <n v="885"/>
    <x v="1"/>
    <n v="5.0999999999999996"/>
    <n v="88.5"/>
    <n v="6.5"/>
    <s v="Bachelors"/>
    <s v="Yes"/>
    <x v="0"/>
    <s v="No"/>
    <n v="97.5"/>
    <n v="100"/>
    <x v="0"/>
  </r>
  <r>
    <n v="886"/>
    <x v="0"/>
    <n v="4.4000000000000004"/>
    <n v="80.099999999999994"/>
    <n v="5.8"/>
    <s v="Masters"/>
    <s v="Yes"/>
    <x v="0"/>
    <s v="Yes"/>
    <n v="48.8"/>
    <n v="77.099999999999994"/>
    <x v="3"/>
  </r>
  <r>
    <n v="887"/>
    <x v="0"/>
    <n v="1.9"/>
    <n v="78.2"/>
    <n v="7.9"/>
    <s v="PhD"/>
    <s v="Yes"/>
    <x v="1"/>
    <s v="Yes"/>
    <n v="79.400000000000006"/>
    <n v="76.8"/>
    <x v="3"/>
  </r>
  <r>
    <n v="888"/>
    <x v="1"/>
    <n v="3"/>
    <n v="85.3"/>
    <n v="7.7"/>
    <s v="High School"/>
    <s v="Yes"/>
    <x v="1"/>
    <s v="No"/>
    <n v="59.1"/>
    <n v="79.8"/>
    <x v="3"/>
  </r>
  <r>
    <n v="889"/>
    <x v="1"/>
    <n v="5.3"/>
    <n v="74.099999999999994"/>
    <n v="5.7"/>
    <s v="Bachelors"/>
    <s v="Yes"/>
    <x v="0"/>
    <s v="Yes"/>
    <n v="69.8"/>
    <n v="82.2"/>
    <x v="1"/>
  </r>
  <r>
    <n v="890"/>
    <x v="0"/>
    <n v="3.7"/>
    <n v="74.099999999999994"/>
    <n v="8.4"/>
    <s v="None"/>
    <s v="Yes"/>
    <x v="0"/>
    <s v="Yes"/>
    <n v="67"/>
    <n v="77.400000000000006"/>
    <x v="3"/>
  </r>
  <r>
    <n v="891"/>
    <x v="0"/>
    <n v="7"/>
    <n v="91.8"/>
    <n v="8.1999999999999993"/>
    <s v="Bachelors"/>
    <s v="Yes"/>
    <x v="0"/>
    <s v="Yes"/>
    <n v="64.900000000000006"/>
    <n v="100"/>
    <x v="0"/>
  </r>
  <r>
    <n v="892"/>
    <x v="0"/>
    <n v="4.0999999999999996"/>
    <n v="73.5"/>
    <n v="7"/>
    <s v="Masters"/>
    <s v="Yes"/>
    <x v="0"/>
    <s v="Yes"/>
    <n v="69.900000000000006"/>
    <n v="87.2"/>
    <x v="1"/>
  </r>
  <r>
    <n v="893"/>
    <x v="0"/>
    <n v="3.8"/>
    <n v="91.7"/>
    <n v="6.9"/>
    <s v="High School"/>
    <s v="Yes"/>
    <x v="1"/>
    <s v="Yes"/>
    <n v="56.4"/>
    <n v="76.400000000000006"/>
    <x v="3"/>
  </r>
  <r>
    <n v="894"/>
    <x v="0"/>
    <n v="3"/>
    <n v="89.6"/>
    <n v="7.5"/>
    <s v="None"/>
    <s v="No"/>
    <x v="1"/>
    <s v="No"/>
    <n v="82.4"/>
    <n v="79.599999999999994"/>
    <x v="3"/>
  </r>
  <r>
    <n v="895"/>
    <x v="1"/>
    <n v="3.7"/>
    <n v="67.7"/>
    <n v="5.8"/>
    <s v="Masters"/>
    <s v="Yes"/>
    <x v="0"/>
    <s v="Yes"/>
    <n v="48.5"/>
    <n v="71.400000000000006"/>
    <x v="3"/>
  </r>
  <r>
    <n v="896"/>
    <x v="1"/>
    <n v="3.3"/>
    <n v="78.2"/>
    <n v="6.8"/>
    <s v="None"/>
    <s v="Yes"/>
    <x v="1"/>
    <s v="Yes"/>
    <n v="76.5"/>
    <n v="80.8"/>
    <x v="1"/>
  </r>
  <r>
    <n v="897"/>
    <x v="1"/>
    <n v="4.5999999999999996"/>
    <n v="96.9"/>
    <n v="4.2"/>
    <s v="Masters"/>
    <s v="Yes"/>
    <x v="1"/>
    <s v="Yes"/>
    <n v="66.099999999999994"/>
    <n v="91.1"/>
    <x v="0"/>
  </r>
  <r>
    <n v="898"/>
    <x v="1"/>
    <n v="4.9000000000000004"/>
    <n v="75.2"/>
    <n v="7.9"/>
    <s v="Bachelors"/>
    <s v="Yes"/>
    <x v="0"/>
    <s v="No"/>
    <n v="55.9"/>
    <n v="78.8"/>
    <x v="3"/>
  </r>
  <r>
    <n v="899"/>
    <x v="0"/>
    <n v="2.2999999999999998"/>
    <n v="80.400000000000006"/>
    <n v="4.9000000000000004"/>
    <s v="None"/>
    <s v="Yes"/>
    <x v="0"/>
    <s v="No"/>
    <n v="72.400000000000006"/>
    <n v="66.7"/>
    <x v="2"/>
  </r>
  <r>
    <n v="900"/>
    <x v="0"/>
    <n v="1.5"/>
    <n v="89.6"/>
    <n v="8.6"/>
    <s v="High School"/>
    <s v="Yes"/>
    <x v="1"/>
    <s v="No"/>
    <n v="51.3"/>
    <n v="68.8"/>
    <x v="2"/>
  </r>
  <r>
    <n v="901"/>
    <x v="0"/>
    <n v="0.7"/>
    <n v="92.8"/>
    <n v="6.4"/>
    <s v="High School"/>
    <s v="Yes"/>
    <x v="1"/>
    <s v="No"/>
    <n v="70.5"/>
    <n v="69.900000000000006"/>
    <x v="2"/>
  </r>
  <r>
    <n v="902"/>
    <x v="1"/>
    <n v="4.3"/>
    <n v="82.5"/>
    <n v="6.5"/>
    <s v="Masters"/>
    <s v="Yes"/>
    <x v="0"/>
    <s v="No"/>
    <n v="52.9"/>
    <n v="80.7"/>
    <x v="1"/>
  </r>
  <r>
    <n v="903"/>
    <x v="1"/>
    <n v="1.8"/>
    <n v="79"/>
    <n v="6"/>
    <s v="Masters"/>
    <s v="Yes"/>
    <x v="0"/>
    <s v="No"/>
    <n v="75.5"/>
    <n v="73.3"/>
    <x v="3"/>
  </r>
  <r>
    <n v="904"/>
    <x v="0"/>
    <n v="0.5"/>
    <n v="99.2"/>
    <n v="6.5"/>
    <s v="None"/>
    <s v="No"/>
    <x v="0"/>
    <s v="Yes"/>
    <n v="58.9"/>
    <n v="68.8"/>
    <x v="2"/>
  </r>
  <r>
    <n v="905"/>
    <x v="0"/>
    <n v="4.0999999999999996"/>
    <n v="100"/>
    <n v="8.5"/>
    <s v="High School"/>
    <s v="Yes"/>
    <x v="1"/>
    <s v="No"/>
    <n v="64.599999999999994"/>
    <n v="90.8"/>
    <x v="0"/>
  </r>
  <r>
    <n v="906"/>
    <x v="1"/>
    <n v="7.2"/>
    <n v="94.8"/>
    <n v="3.8"/>
    <s v="Masters"/>
    <s v="Yes"/>
    <x v="0"/>
    <s v="No"/>
    <n v="73.5"/>
    <n v="100"/>
    <x v="0"/>
  </r>
  <r>
    <n v="907"/>
    <x v="1"/>
    <n v="3.5"/>
    <n v="85.9"/>
    <n v="8.3000000000000007"/>
    <s v="Masters"/>
    <s v="Yes"/>
    <x v="0"/>
    <s v="No"/>
    <n v="60.7"/>
    <n v="85"/>
    <x v="1"/>
  </r>
  <r>
    <n v="908"/>
    <x v="0"/>
    <n v="4.8"/>
    <n v="76.900000000000006"/>
    <n v="7.2"/>
    <s v="High School"/>
    <s v="Yes"/>
    <x v="1"/>
    <s v="Yes"/>
    <n v="69.3"/>
    <n v="86"/>
    <x v="1"/>
  </r>
  <r>
    <n v="909"/>
    <x v="0"/>
    <n v="3.6"/>
    <n v="76.7"/>
    <n v="5.4"/>
    <s v="Bachelors"/>
    <s v="Yes"/>
    <x v="1"/>
    <s v="No"/>
    <n v="51.8"/>
    <n v="73.099999999999994"/>
    <x v="3"/>
  </r>
  <r>
    <n v="910"/>
    <x v="1"/>
    <n v="3.4"/>
    <n v="90.2"/>
    <n v="5.5"/>
    <s v="High School"/>
    <s v="Yes"/>
    <x v="1"/>
    <s v="Yes"/>
    <n v="77.599999999999994"/>
    <n v="87.6"/>
    <x v="1"/>
  </r>
  <r>
    <n v="911"/>
    <x v="0"/>
    <n v="4.9000000000000004"/>
    <n v="89.2"/>
    <n v="8.8000000000000007"/>
    <s v="High School"/>
    <s v="Yes"/>
    <x v="0"/>
    <s v="Yes"/>
    <n v="91.2"/>
    <n v="96.5"/>
    <x v="0"/>
  </r>
  <r>
    <n v="912"/>
    <x v="0"/>
    <n v="3.1"/>
    <n v="99"/>
    <n v="5.7"/>
    <s v="None"/>
    <s v="Yes"/>
    <x v="0"/>
    <s v="No"/>
    <n v="100"/>
    <n v="100"/>
    <x v="0"/>
  </r>
  <r>
    <n v="913"/>
    <x v="0"/>
    <n v="3.9"/>
    <n v="91.5"/>
    <n v="5.4"/>
    <s v="Bachelors"/>
    <s v="No"/>
    <x v="0"/>
    <s v="No"/>
    <n v="71.099999999999994"/>
    <n v="82.1"/>
    <x v="1"/>
  </r>
  <r>
    <n v="914"/>
    <x v="1"/>
    <n v="4"/>
    <n v="70"/>
    <n v="8.1999999999999993"/>
    <s v="Masters"/>
    <s v="Yes"/>
    <x v="0"/>
    <s v="No"/>
    <n v="79.5"/>
    <n v="80.3"/>
    <x v="1"/>
  </r>
  <r>
    <n v="915"/>
    <x v="1"/>
    <n v="2.5"/>
    <n v="95.5"/>
    <n v="7.2"/>
    <s v="None"/>
    <s v="Yes"/>
    <x v="1"/>
    <s v="No"/>
    <n v="48.6"/>
    <n v="76.900000000000006"/>
    <x v="3"/>
  </r>
  <r>
    <n v="916"/>
    <x v="1"/>
    <n v="5"/>
    <n v="75"/>
    <n v="5.7"/>
    <s v="Bachelors"/>
    <s v="No"/>
    <x v="0"/>
    <s v="Yes"/>
    <n v="88"/>
    <n v="81.7"/>
    <x v="1"/>
  </r>
  <r>
    <n v="917"/>
    <x v="1"/>
    <n v="3.2"/>
    <n v="81.2"/>
    <n v="7.1"/>
    <s v="Masters"/>
    <s v="Yes"/>
    <x v="0"/>
    <s v="Yes"/>
    <n v="79.3"/>
    <n v="88.1"/>
    <x v="1"/>
  </r>
  <r>
    <n v="918"/>
    <x v="1"/>
    <n v="2.4"/>
    <n v="87.5"/>
    <n v="5.6"/>
    <s v="Bachelors"/>
    <s v="Yes"/>
    <x v="0"/>
    <s v="Yes"/>
    <n v="64.2"/>
    <n v="88.1"/>
    <x v="1"/>
  </r>
  <r>
    <n v="919"/>
    <x v="1"/>
    <n v="4.3"/>
    <n v="100"/>
    <n v="8.1"/>
    <s v="PhD"/>
    <s v="Yes"/>
    <x v="0"/>
    <s v="No"/>
    <n v="84.8"/>
    <n v="97.3"/>
    <x v="0"/>
  </r>
  <r>
    <n v="920"/>
    <x v="1"/>
    <n v="2.2000000000000002"/>
    <n v="100"/>
    <n v="8.1"/>
    <s v="High School"/>
    <s v="Yes"/>
    <x v="1"/>
    <s v="Yes"/>
    <n v="66.900000000000006"/>
    <n v="83.4"/>
    <x v="1"/>
  </r>
  <r>
    <n v="921"/>
    <x v="0"/>
    <n v="3.5"/>
    <n v="91.1"/>
    <n v="7.4"/>
    <s v="None"/>
    <s v="Yes"/>
    <x v="0"/>
    <s v="Yes"/>
    <n v="64.5"/>
    <n v="72.8"/>
    <x v="3"/>
  </r>
  <r>
    <n v="922"/>
    <x v="0"/>
    <n v="3.5"/>
    <n v="83.2"/>
    <n v="7.2"/>
    <s v="High School"/>
    <s v="Yes"/>
    <x v="0"/>
    <s v="No"/>
    <n v="75.7"/>
    <n v="90.5"/>
    <x v="0"/>
  </r>
  <r>
    <n v="923"/>
    <x v="0"/>
    <n v="5.0999999999999996"/>
    <n v="90.3"/>
    <n v="8.9"/>
    <s v="High School"/>
    <s v="Yes"/>
    <x v="0"/>
    <s v="Yes"/>
    <n v="57.2"/>
    <n v="83.8"/>
    <x v="1"/>
  </r>
  <r>
    <n v="924"/>
    <x v="0"/>
    <n v="4.2"/>
    <n v="93.9"/>
    <n v="6.8"/>
    <s v="Masters"/>
    <s v="Yes"/>
    <x v="0"/>
    <s v="No"/>
    <n v="82.3"/>
    <n v="93.1"/>
    <x v="0"/>
  </r>
  <r>
    <n v="925"/>
    <x v="0"/>
    <n v="3.5"/>
    <n v="81.8"/>
    <n v="5.4"/>
    <s v="Bachelors"/>
    <s v="Yes"/>
    <x v="0"/>
    <s v="No"/>
    <n v="57.3"/>
    <n v="71.2"/>
    <x v="3"/>
  </r>
  <r>
    <n v="926"/>
    <x v="0"/>
    <n v="4.7"/>
    <n v="100"/>
    <n v="7.3"/>
    <s v="Bachelors"/>
    <s v="Yes"/>
    <x v="1"/>
    <s v="No"/>
    <n v="57.4"/>
    <n v="95.3"/>
    <x v="0"/>
  </r>
  <r>
    <n v="927"/>
    <x v="0"/>
    <n v="5.6"/>
    <n v="87.3"/>
    <n v="9.3000000000000007"/>
    <s v="Bachelors"/>
    <s v="Yes"/>
    <x v="1"/>
    <s v="No"/>
    <n v="59.1"/>
    <n v="99.6"/>
    <x v="0"/>
  </r>
  <r>
    <n v="928"/>
    <x v="1"/>
    <n v="4.3"/>
    <n v="90"/>
    <n v="5.6"/>
    <s v="Masters"/>
    <s v="Yes"/>
    <x v="1"/>
    <s v="No"/>
    <n v="79.099999999999994"/>
    <n v="92.4"/>
    <x v="0"/>
  </r>
  <r>
    <n v="929"/>
    <x v="1"/>
    <n v="3.5"/>
    <n v="91.7"/>
    <n v="6.4"/>
    <s v="High School"/>
    <s v="Yes"/>
    <x v="1"/>
    <s v="Yes"/>
    <n v="62.6"/>
    <n v="75.400000000000006"/>
    <x v="3"/>
  </r>
  <r>
    <n v="930"/>
    <x v="0"/>
    <n v="1.5"/>
    <n v="89.2"/>
    <n v="7.3"/>
    <s v="High School"/>
    <s v="Yes"/>
    <x v="1"/>
    <s v="No"/>
    <n v="53.8"/>
    <n v="80.8"/>
    <x v="1"/>
  </r>
  <r>
    <n v="931"/>
    <x v="0"/>
    <n v="1.9"/>
    <n v="93.4"/>
    <n v="6.7"/>
    <s v="High School"/>
    <s v="Yes"/>
    <x v="1"/>
    <s v="No"/>
    <n v="62.7"/>
    <n v="72.900000000000006"/>
    <x v="3"/>
  </r>
  <r>
    <n v="932"/>
    <x v="1"/>
    <n v="3"/>
    <n v="78.8"/>
    <n v="5.6"/>
    <s v="Bachelors"/>
    <s v="Yes"/>
    <x v="0"/>
    <s v="Yes"/>
    <n v="69.599999999999994"/>
    <n v="63.7"/>
    <x v="2"/>
  </r>
  <r>
    <n v="933"/>
    <x v="0"/>
    <n v="2.6"/>
    <n v="79.400000000000006"/>
    <n v="8.1"/>
    <s v="High School"/>
    <s v="Yes"/>
    <x v="0"/>
    <s v="Yes"/>
    <n v="55.8"/>
    <n v="75.3"/>
    <x v="3"/>
  </r>
  <r>
    <n v="934"/>
    <x v="0"/>
    <n v="3.2"/>
    <n v="74"/>
    <n v="9.6"/>
    <s v="Bachelors"/>
    <s v="Yes"/>
    <x v="0"/>
    <s v="No"/>
    <n v="56.2"/>
    <n v="71.7"/>
    <x v="3"/>
  </r>
  <r>
    <n v="935"/>
    <x v="1"/>
    <n v="3.6"/>
    <n v="89.4"/>
    <n v="7"/>
    <s v="Bachelors"/>
    <s v="Yes"/>
    <x v="1"/>
    <s v="No"/>
    <n v="95.3"/>
    <n v="100"/>
    <x v="0"/>
  </r>
  <r>
    <n v="936"/>
    <x v="0"/>
    <n v="4.3"/>
    <n v="92.8"/>
    <n v="5.7"/>
    <s v="High School"/>
    <s v="Yes"/>
    <x v="1"/>
    <s v="No"/>
    <n v="59.7"/>
    <n v="83.3"/>
    <x v="1"/>
  </r>
  <r>
    <n v="937"/>
    <x v="1"/>
    <n v="3.4"/>
    <n v="89.6"/>
    <n v="4.9000000000000004"/>
    <s v="Bachelors"/>
    <s v="Yes"/>
    <x v="1"/>
    <s v="No"/>
    <n v="66.099999999999994"/>
    <n v="85.6"/>
    <x v="1"/>
  </r>
  <r>
    <n v="938"/>
    <x v="0"/>
    <n v="4.2"/>
    <n v="100"/>
    <n v="7.1"/>
    <s v="PhD"/>
    <s v="No"/>
    <x v="0"/>
    <s v="Yes"/>
    <n v="65.599999999999994"/>
    <n v="93.1"/>
    <x v="0"/>
  </r>
  <r>
    <n v="939"/>
    <x v="1"/>
    <n v="3.6"/>
    <n v="84.9"/>
    <n v="8.1"/>
    <s v="High School"/>
    <s v="Yes"/>
    <x v="1"/>
    <s v="No"/>
    <n v="64.900000000000006"/>
    <n v="77.3"/>
    <x v="3"/>
  </r>
  <r>
    <n v="940"/>
    <x v="1"/>
    <n v="0.5"/>
    <n v="91.7"/>
    <n v="7.4"/>
    <s v="Bachelors"/>
    <s v="Yes"/>
    <x v="0"/>
    <s v="No"/>
    <n v="77.5"/>
    <n v="74.8"/>
    <x v="3"/>
  </r>
  <r>
    <n v="941"/>
    <x v="1"/>
    <n v="2.1"/>
    <n v="74.099999999999994"/>
    <n v="6.8"/>
    <s v="Masters"/>
    <s v="Yes"/>
    <x v="0"/>
    <s v="Yes"/>
    <n v="81.400000000000006"/>
    <n v="76.7"/>
    <x v="3"/>
  </r>
  <r>
    <n v="942"/>
    <x v="0"/>
    <n v="3.3"/>
    <n v="81.099999999999994"/>
    <n v="6.1"/>
    <s v="Bachelors"/>
    <s v="No"/>
    <x v="0"/>
    <s v="No"/>
    <n v="66.3"/>
    <n v="85.3"/>
    <x v="1"/>
  </r>
  <r>
    <n v="943"/>
    <x v="1"/>
    <n v="1.7"/>
    <n v="92"/>
    <n v="5.5"/>
    <s v="Masters"/>
    <s v="Yes"/>
    <x v="0"/>
    <s v="No"/>
    <n v="55.2"/>
    <n v="68.599999999999994"/>
    <x v="2"/>
  </r>
  <r>
    <n v="944"/>
    <x v="0"/>
    <n v="4.4000000000000004"/>
    <n v="93.5"/>
    <n v="7.8"/>
    <s v="Bachelors"/>
    <s v="Yes"/>
    <x v="0"/>
    <s v="No"/>
    <n v="85.3"/>
    <n v="96.4"/>
    <x v="0"/>
  </r>
  <r>
    <n v="945"/>
    <x v="0"/>
    <n v="5.8"/>
    <n v="82.1"/>
    <n v="7.9"/>
    <s v="Bachelors"/>
    <s v="Yes"/>
    <x v="0"/>
    <s v="Yes"/>
    <n v="68.900000000000006"/>
    <n v="95.7"/>
    <x v="0"/>
  </r>
  <r>
    <n v="946"/>
    <x v="0"/>
    <n v="5.3"/>
    <n v="84.3"/>
    <n v="4.9000000000000004"/>
    <s v="High School"/>
    <s v="Yes"/>
    <x v="0"/>
    <s v="No"/>
    <n v="90.8"/>
    <n v="96.1"/>
    <x v="0"/>
  </r>
  <r>
    <n v="947"/>
    <x v="0"/>
    <n v="3.2"/>
    <n v="69.8"/>
    <n v="8.6999999999999993"/>
    <s v="Masters"/>
    <s v="Yes"/>
    <x v="1"/>
    <s v="No"/>
    <n v="43.1"/>
    <n v="70.400000000000006"/>
    <x v="3"/>
  </r>
  <r>
    <n v="948"/>
    <x v="1"/>
    <n v="5.7"/>
    <n v="81.400000000000006"/>
    <n v="7.5"/>
    <s v="Masters"/>
    <s v="Yes"/>
    <x v="1"/>
    <s v="No"/>
    <n v="72.3"/>
    <n v="85.8"/>
    <x v="1"/>
  </r>
  <r>
    <n v="949"/>
    <x v="1"/>
    <n v="3.7"/>
    <n v="93.9"/>
    <n v="8.5"/>
    <s v="High School"/>
    <s v="No"/>
    <x v="1"/>
    <s v="No"/>
    <n v="93"/>
    <n v="100"/>
    <x v="0"/>
  </r>
  <r>
    <n v="950"/>
    <x v="0"/>
    <n v="3"/>
    <n v="90.8"/>
    <n v="5.2"/>
    <s v="Bachelors"/>
    <s v="No"/>
    <x v="0"/>
    <s v="Yes"/>
    <n v="65.8"/>
    <n v="65.8"/>
    <x v="2"/>
  </r>
  <r>
    <n v="951"/>
    <x v="0"/>
    <n v="2.6"/>
    <n v="90"/>
    <n v="5.2"/>
    <s v="None"/>
    <s v="No"/>
    <x v="1"/>
    <s v="No"/>
    <n v="67.3"/>
    <n v="72.400000000000006"/>
    <x v="3"/>
  </r>
  <r>
    <n v="952"/>
    <x v="1"/>
    <n v="3"/>
    <n v="85.5"/>
    <n v="6.6"/>
    <s v="Bachelors"/>
    <s v="Yes"/>
    <x v="1"/>
    <s v="No"/>
    <n v="73.5"/>
    <n v="83.6"/>
    <x v="1"/>
  </r>
  <r>
    <n v="953"/>
    <x v="0"/>
    <n v="2.9"/>
    <n v="85.1"/>
    <n v="7.4"/>
    <s v="Bachelors"/>
    <s v="Yes"/>
    <x v="0"/>
    <s v="Yes"/>
    <n v="63.3"/>
    <n v="89.5"/>
    <x v="1"/>
  </r>
  <r>
    <n v="954"/>
    <x v="1"/>
    <n v="3.8"/>
    <n v="78.400000000000006"/>
    <n v="9"/>
    <s v="None"/>
    <s v="Yes"/>
    <x v="0"/>
    <s v="No"/>
    <n v="66.3"/>
    <n v="77.900000000000006"/>
    <x v="3"/>
  </r>
  <r>
    <n v="955"/>
    <x v="0"/>
    <n v="3.7"/>
    <n v="92"/>
    <n v="7.6"/>
    <s v="Masters"/>
    <s v="Yes"/>
    <x v="0"/>
    <s v="No"/>
    <n v="65.900000000000006"/>
    <n v="100"/>
    <x v="0"/>
  </r>
  <r>
    <n v="956"/>
    <x v="0"/>
    <n v="3.5"/>
    <n v="89.2"/>
    <n v="6.5"/>
    <s v="Bachelors"/>
    <s v="Yes"/>
    <x v="0"/>
    <s v="No"/>
    <n v="62.5"/>
    <n v="88.3"/>
    <x v="1"/>
  </r>
  <r>
    <n v="957"/>
    <x v="1"/>
    <n v="4.2"/>
    <n v="89.9"/>
    <n v="5.6"/>
    <s v="Masters"/>
    <s v="Yes"/>
    <x v="1"/>
    <s v="Yes"/>
    <n v="84.7"/>
    <n v="93.5"/>
    <x v="0"/>
  </r>
  <r>
    <n v="958"/>
    <x v="0"/>
    <n v="5.3"/>
    <n v="79.7"/>
    <n v="8.3000000000000007"/>
    <s v="PhD"/>
    <s v="Yes"/>
    <x v="1"/>
    <s v="No"/>
    <n v="75.5"/>
    <n v="89"/>
    <x v="1"/>
  </r>
  <r>
    <n v="959"/>
    <x v="1"/>
    <n v="4.9000000000000004"/>
    <n v="63.5"/>
    <n v="5.6"/>
    <s v="Bachelors"/>
    <s v="Yes"/>
    <x v="0"/>
    <s v="No"/>
    <n v="73"/>
    <n v="87.6"/>
    <x v="1"/>
  </r>
  <r>
    <n v="960"/>
    <x v="0"/>
    <n v="1.3"/>
    <n v="96"/>
    <n v="8.8000000000000007"/>
    <s v="Bachelors"/>
    <s v="Yes"/>
    <x v="1"/>
    <s v="No"/>
    <n v="79.7"/>
    <n v="80.5"/>
    <x v="1"/>
  </r>
  <r>
    <n v="961"/>
    <x v="0"/>
    <n v="0.5"/>
    <n v="80.2"/>
    <n v="6.5"/>
    <s v="Bachelors"/>
    <s v="Yes"/>
    <x v="1"/>
    <s v="No"/>
    <n v="66.8"/>
    <n v="75.400000000000006"/>
    <x v="3"/>
  </r>
  <r>
    <n v="962"/>
    <x v="0"/>
    <n v="4.9000000000000004"/>
    <n v="76.400000000000006"/>
    <n v="8.6999999999999993"/>
    <s v="None"/>
    <s v="Yes"/>
    <x v="1"/>
    <s v="No"/>
    <n v="60.7"/>
    <n v="80.7"/>
    <x v="1"/>
  </r>
  <r>
    <n v="963"/>
    <x v="1"/>
    <n v="1.4"/>
    <n v="91.9"/>
    <n v="7.6"/>
    <s v="Masters"/>
    <s v="Yes"/>
    <x v="0"/>
    <s v="Yes"/>
    <n v="62.8"/>
    <n v="73"/>
    <x v="3"/>
  </r>
  <r>
    <n v="964"/>
    <x v="0"/>
    <n v="3.2"/>
    <n v="81.099999999999994"/>
    <n v="6.6"/>
    <s v="High School"/>
    <s v="Yes"/>
    <x v="1"/>
    <s v="No"/>
    <n v="70"/>
    <n v="78.400000000000006"/>
    <x v="3"/>
  </r>
  <r>
    <n v="965"/>
    <x v="0"/>
    <n v="1.7"/>
    <n v="95.6"/>
    <n v="6.2"/>
    <s v="PhD"/>
    <s v="Yes"/>
    <x v="0"/>
    <s v="No"/>
    <n v="57.3"/>
    <n v="69.5"/>
    <x v="2"/>
  </r>
  <r>
    <n v="966"/>
    <x v="0"/>
    <n v="0.8"/>
    <n v="91.2"/>
    <n v="6.4"/>
    <s v="Bachelors"/>
    <s v="Yes"/>
    <x v="1"/>
    <s v="No"/>
    <n v="64"/>
    <n v="76.2"/>
    <x v="3"/>
  </r>
  <r>
    <n v="967"/>
    <x v="0"/>
    <n v="4.3"/>
    <n v="91.8"/>
    <n v="7.3"/>
    <s v="High School"/>
    <s v="Yes"/>
    <x v="0"/>
    <s v="Yes"/>
    <n v="63.8"/>
    <n v="90"/>
    <x v="0"/>
  </r>
  <r>
    <n v="968"/>
    <x v="1"/>
    <n v="4.5999999999999996"/>
    <n v="71.3"/>
    <n v="6.9"/>
    <s v="Bachelors"/>
    <s v="Yes"/>
    <x v="0"/>
    <s v="No"/>
    <n v="95.5"/>
    <n v="100"/>
    <x v="0"/>
  </r>
  <r>
    <n v="969"/>
    <x v="1"/>
    <n v="2.6"/>
    <n v="97.1"/>
    <n v="6.1"/>
    <s v="Bachelors"/>
    <s v="Yes"/>
    <x v="1"/>
    <s v="No"/>
    <n v="36.700000000000003"/>
    <n v="60"/>
    <x v="2"/>
  </r>
  <r>
    <n v="970"/>
    <x v="0"/>
    <n v="0.5"/>
    <n v="87.6"/>
    <n v="6.6"/>
    <s v="PhD"/>
    <s v="Yes"/>
    <x v="0"/>
    <s v="No"/>
    <n v="67.8"/>
    <n v="78.3"/>
    <x v="3"/>
  </r>
  <r>
    <n v="971"/>
    <x v="1"/>
    <n v="2.7"/>
    <n v="81.3"/>
    <n v="6.9"/>
    <s v="High School"/>
    <s v="Yes"/>
    <x v="0"/>
    <s v="Yes"/>
    <n v="90.7"/>
    <n v="100"/>
    <x v="0"/>
  </r>
  <r>
    <n v="972"/>
    <x v="0"/>
    <n v="4.0999999999999996"/>
    <n v="86.4"/>
    <n v="4.2"/>
    <s v="Masters"/>
    <s v="No"/>
    <x v="0"/>
    <s v="Yes"/>
    <n v="71.5"/>
    <n v="75.599999999999994"/>
    <x v="3"/>
  </r>
  <r>
    <n v="973"/>
    <x v="0"/>
    <n v="1.3"/>
    <n v="67.2"/>
    <n v="7.3"/>
    <s v="Bachelors"/>
    <s v="Yes"/>
    <x v="1"/>
    <s v="No"/>
    <n v="79"/>
    <n v="84.1"/>
    <x v="1"/>
  </r>
  <r>
    <n v="974"/>
    <x v="0"/>
    <n v="3.8"/>
    <n v="89.1"/>
    <n v="5.6"/>
    <s v="High School"/>
    <s v="No"/>
    <x v="0"/>
    <s v="Yes"/>
    <n v="71.2"/>
    <n v="77.900000000000006"/>
    <x v="3"/>
  </r>
  <r>
    <n v="975"/>
    <x v="1"/>
    <n v="3.5"/>
    <n v="74.7"/>
    <n v="5.4"/>
    <s v="None"/>
    <s v="Yes"/>
    <x v="1"/>
    <s v="No"/>
    <n v="62"/>
    <n v="67.900000000000006"/>
    <x v="2"/>
  </r>
  <r>
    <n v="976"/>
    <x v="1"/>
    <n v="4.4000000000000004"/>
    <n v="71.5"/>
    <n v="4.8"/>
    <s v="Bachelors"/>
    <s v="Yes"/>
    <x v="0"/>
    <s v="Yes"/>
    <n v="43.1"/>
    <n v="67"/>
    <x v="2"/>
  </r>
  <r>
    <n v="977"/>
    <x v="1"/>
    <n v="3.7"/>
    <n v="69.8"/>
    <n v="4.5999999999999996"/>
    <s v="High School"/>
    <s v="No"/>
    <x v="0"/>
    <s v="No"/>
    <n v="72.5"/>
    <n v="80.900000000000006"/>
    <x v="1"/>
  </r>
  <r>
    <n v="978"/>
    <x v="1"/>
    <n v="2"/>
    <n v="96.1"/>
    <n v="5.2"/>
    <s v="Bachelors"/>
    <s v="Yes"/>
    <x v="0"/>
    <s v="No"/>
    <n v="60.7"/>
    <n v="72.099999999999994"/>
    <x v="3"/>
  </r>
  <r>
    <n v="979"/>
    <x v="1"/>
    <n v="5.3"/>
    <n v="78.7"/>
    <n v="5.9"/>
    <s v="PhD"/>
    <s v="Yes"/>
    <x v="0"/>
    <s v="No"/>
    <n v="60.4"/>
    <n v="83"/>
    <x v="1"/>
  </r>
  <r>
    <n v="980"/>
    <x v="1"/>
    <n v="3.3"/>
    <n v="100"/>
    <n v="9.1"/>
    <s v="High School"/>
    <s v="Yes"/>
    <x v="0"/>
    <s v="No"/>
    <n v="64"/>
    <n v="93.9"/>
    <x v="0"/>
  </r>
  <r>
    <n v="981"/>
    <x v="1"/>
    <n v="3.5"/>
    <n v="79.599999999999994"/>
    <n v="6.2"/>
    <s v="High School"/>
    <s v="Yes"/>
    <x v="0"/>
    <s v="No"/>
    <n v="90.9"/>
    <n v="91.4"/>
    <x v="0"/>
  </r>
  <r>
    <n v="982"/>
    <x v="1"/>
    <n v="2.1"/>
    <n v="67.900000000000006"/>
    <n v="7"/>
    <s v="High School"/>
    <s v="No"/>
    <x v="1"/>
    <s v="Yes"/>
    <n v="98.9"/>
    <n v="79.7"/>
    <x v="3"/>
  </r>
  <r>
    <n v="983"/>
    <x v="1"/>
    <n v="2.8"/>
    <n v="73.8"/>
    <n v="7.3"/>
    <s v="High School"/>
    <s v="Yes"/>
    <x v="1"/>
    <s v="Yes"/>
    <n v="72.599999999999994"/>
    <n v="77.7"/>
    <x v="3"/>
  </r>
  <r>
    <n v="984"/>
    <x v="0"/>
    <n v="2.2000000000000002"/>
    <n v="97.4"/>
    <n v="7"/>
    <s v="Masters"/>
    <s v="Yes"/>
    <x v="0"/>
    <s v="No"/>
    <n v="64.400000000000006"/>
    <n v="85"/>
    <x v="1"/>
  </r>
  <r>
    <n v="985"/>
    <x v="1"/>
    <n v="3.2"/>
    <n v="83.4"/>
    <n v="6.7"/>
    <s v="Bachelors"/>
    <s v="Yes"/>
    <x v="0"/>
    <s v="No"/>
    <n v="55.9"/>
    <n v="75.400000000000006"/>
    <x v="3"/>
  </r>
  <r>
    <n v="986"/>
    <x v="1"/>
    <n v="6.1"/>
    <n v="79.5"/>
    <n v="5.4"/>
    <s v="High School"/>
    <s v="Yes"/>
    <x v="1"/>
    <s v="No"/>
    <n v="75.599999999999994"/>
    <n v="96.4"/>
    <x v="0"/>
  </r>
  <r>
    <n v="987"/>
    <x v="1"/>
    <n v="1.4"/>
    <n v="86.6"/>
    <n v="8.5"/>
    <s v="High School"/>
    <s v="Yes"/>
    <x v="0"/>
    <s v="No"/>
    <n v="91.4"/>
    <n v="81.8"/>
    <x v="1"/>
  </r>
  <r>
    <n v="988"/>
    <x v="1"/>
    <n v="1.1000000000000001"/>
    <n v="90"/>
    <n v="9"/>
    <s v="High School"/>
    <s v="Yes"/>
    <x v="0"/>
    <s v="No"/>
    <n v="67"/>
    <n v="85.8"/>
    <x v="1"/>
  </r>
  <r>
    <n v="989"/>
    <x v="1"/>
    <n v="5.7"/>
    <n v="96.2"/>
    <n v="4.8"/>
    <s v="None"/>
    <s v="Yes"/>
    <x v="1"/>
    <s v="No"/>
    <n v="41.5"/>
    <n v="80.900000000000006"/>
    <x v="1"/>
  </r>
  <r>
    <n v="990"/>
    <x v="1"/>
    <n v="3.2"/>
    <n v="99.5"/>
    <n v="5.6"/>
    <s v="High School"/>
    <s v="Yes"/>
    <x v="1"/>
    <s v="Yes"/>
    <n v="78"/>
    <n v="93.9"/>
    <x v="0"/>
  </r>
  <r>
    <n v="991"/>
    <x v="1"/>
    <n v="2.5"/>
    <n v="81.400000000000006"/>
    <n v="6.5"/>
    <s v="None"/>
    <s v="Yes"/>
    <x v="1"/>
    <s v="No"/>
    <n v="81.8"/>
    <n v="81.900000000000006"/>
    <x v="1"/>
  </r>
  <r>
    <n v="992"/>
    <x v="1"/>
    <n v="5.0999999999999996"/>
    <n v="71.7"/>
    <n v="5.6"/>
    <s v="Bachelors"/>
    <s v="Yes"/>
    <x v="0"/>
    <s v="No"/>
    <n v="51"/>
    <n v="80.400000000000006"/>
    <x v="1"/>
  </r>
  <r>
    <n v="993"/>
    <x v="1"/>
    <n v="2.6"/>
    <n v="80.900000000000006"/>
    <n v="7.4"/>
    <s v="High School"/>
    <s v="Yes"/>
    <x v="0"/>
    <s v="No"/>
    <n v="72.099999999999994"/>
    <n v="78.8"/>
    <x v="3"/>
  </r>
  <r>
    <n v="994"/>
    <x v="1"/>
    <n v="6.2"/>
    <n v="87.6"/>
    <n v="5.9"/>
    <s v="PhD"/>
    <s v="Yes"/>
    <x v="1"/>
    <s v="No"/>
    <n v="75.400000000000006"/>
    <n v="92.7"/>
    <x v="0"/>
  </r>
  <r>
    <n v="995"/>
    <x v="1"/>
    <n v="4.5"/>
    <n v="75.400000000000006"/>
    <n v="9.4"/>
    <s v="Bachelors"/>
    <s v="Yes"/>
    <x v="0"/>
    <s v="No"/>
    <n v="69.099999999999994"/>
    <n v="79.099999999999994"/>
    <x v="3"/>
  </r>
  <r>
    <n v="996"/>
    <x v="0"/>
    <n v="2.8"/>
    <n v="75.400000000000006"/>
    <n v="8.1999999999999993"/>
    <s v="Masters"/>
    <s v="Yes"/>
    <x v="0"/>
    <s v="No"/>
    <n v="60.5"/>
    <n v="70.7"/>
    <x v="3"/>
  </r>
  <r>
    <n v="997"/>
    <x v="0"/>
    <n v="6.7"/>
    <n v="88.4"/>
    <n v="7.1"/>
    <s v="None"/>
    <s v="No"/>
    <x v="0"/>
    <s v="No"/>
    <n v="82.2"/>
    <n v="99.5"/>
    <x v="0"/>
  </r>
  <r>
    <n v="998"/>
    <x v="1"/>
    <n v="2.6"/>
    <n v="84.5"/>
    <n v="8"/>
    <s v="High School"/>
    <s v="Yes"/>
    <x v="0"/>
    <s v="Yes"/>
    <n v="65.2"/>
    <n v="79.2"/>
    <x v="3"/>
  </r>
  <r>
    <n v="999"/>
    <x v="1"/>
    <n v="4.5999999999999996"/>
    <n v="85.3"/>
    <n v="8.1"/>
    <s v="High School"/>
    <s v="No"/>
    <x v="1"/>
    <s v="Yes"/>
    <n v="52.2"/>
    <n v="82.2"/>
    <x v="1"/>
  </r>
  <r>
    <n v="1000"/>
    <x v="0"/>
    <n v="3.9"/>
    <n v="77.400000000000006"/>
    <n v="6.1"/>
    <s v="Masters"/>
    <s v="Yes"/>
    <x v="1"/>
    <s v="No"/>
    <n v="45.4"/>
    <n v="70.40000000000000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EC344-C531-4CFE-B62F-D3B1F449BE1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2">
    <pivotField dataField="1" showAll="0"/>
    <pivotField showAll="0"/>
    <pivotField numFmtId="164" showAll="0"/>
    <pivotField showAll="0"/>
    <pivotField numFmtId="16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64" showAll="0"/>
    <pivotField axis="axisRow" showAll="0">
      <items count="6">
        <item x="0"/>
        <item x="1"/>
        <item x="3"/>
        <item x="2"/>
        <item x="4"/>
        <item t="default"/>
      </items>
    </pivotField>
  </pivotFields>
  <rowFields count="2">
    <field x="6"/>
    <field x="11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student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95902-7F1C-424A-A2EA-4AAB956C39FC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showAll="0"/>
    <pivotField showAll="0"/>
    <pivotField numFmtId="164" showAll="0"/>
    <pivotField showAll="0"/>
    <pivotField dataField="1" numFmtId="16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sleep_hours" fld="4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117E6-A9F2-4920-9625-7085A9C8E2FF}" name="PivotTable1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tudent_id" fld="1" subtotal="count" baseField="0" baseItem="0"/>
    <dataField name="Sum of study_time_hours" fld="2" baseField="0" baseItem="0"/>
    <dataField name="Sum of sleep_hours" fld="3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student_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_Performance.xlsx!student_performance_dataset">
        <x15:activeTabTopLevelEntity name="[student_performanc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DE99A-7EDF-4965-A27F-64E2C7FE7BB0}" name="PivotTable1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2">
    <pivotField dataField="1" showAll="0"/>
    <pivotField showAll="0">
      <items count="3">
        <item x="1"/>
        <item x="0"/>
        <item t="default"/>
      </items>
    </pivotField>
    <pivotField numFmtId="164" showAll="0"/>
    <pivotField showAll="0"/>
    <pivotField dataField="1" numFmtId="164"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numFmtId="164" showAll="0"/>
    <pivotField axis="axisRow" showAll="0">
      <items count="6">
        <item x="0"/>
        <item x="1"/>
        <item x="3"/>
        <item x="2"/>
        <item x="4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udent_id" fld="0" subtotal="count" baseField="11" baseItem="0"/>
    <dataField name="Average of sleep_hours" fld="4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64CD41-21C0-402D-B611-8728685E7EF4}" autoFormatId="16" applyNumberFormats="0" applyBorderFormats="0" applyFontFormats="0" applyPatternFormats="0" applyAlignmentFormats="0" applyWidthHeightFormats="0">
  <queryTableRefresh nextId="13">
    <queryTableFields count="12">
      <queryTableField id="1" name="student_id" tableColumnId="1"/>
      <queryTableField id="2" name="gender" tableColumnId="2"/>
      <queryTableField id="3" name="study_time_hours" tableColumnId="3"/>
      <queryTableField id="4" name="attendance_percent" tableColumnId="4"/>
      <queryTableField id="5" name="sleep_hours" tableColumnId="5"/>
      <queryTableField id="6" name="parental_education" tableColumnId="6"/>
      <queryTableField id="7" name="internet_access" tableColumnId="7"/>
      <queryTableField id="8" name="extracurricular_activities" tableColumnId="8"/>
      <queryTableField id="9" name="part_time_job" tableColumnId="9"/>
      <queryTableField id="10" name="previous_grade" tableColumnId="10"/>
      <queryTableField id="11" name="final_exam_score" tableColumnId="11"/>
      <queryTableField id="12" name="final_grad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7D6555-B798-48CF-A828-FF0A73AB0881}" name="student_performance_dataset" displayName="student_performance_dataset" ref="A1:L1001" tableType="queryTable" totalsRowShown="0">
  <autoFilter ref="A1:L1001" xr:uid="{D778CC55-9EA3-4502-867E-865D6E354DBF}"/>
  <tableColumns count="12">
    <tableColumn id="1" xr3:uid="{39D2F3BC-B0F0-459E-ABA9-C4E6F48C334C}" uniqueName="1" name="student_id" queryTableFieldId="1"/>
    <tableColumn id="2" xr3:uid="{441DA8A7-041A-4D43-BBEA-D3D27FD2E1C1}" uniqueName="2" name="gender" queryTableFieldId="2" dataDxfId="8"/>
    <tableColumn id="3" xr3:uid="{07D28E48-528F-4FEF-9117-498F5934479C}" uniqueName="3" name="study_time_hours" queryTableFieldId="3" dataDxfId="7"/>
    <tableColumn id="4" xr3:uid="{009B8920-AEA3-4B85-B79F-C15F6606EFE2}" uniqueName="4" name="attendance_percent" queryTableFieldId="4"/>
    <tableColumn id="5" xr3:uid="{A8E30398-A394-4719-BC83-1507831DBE2A}" uniqueName="5" name="sleep_hours" queryTableFieldId="5" dataDxfId="6"/>
    <tableColumn id="6" xr3:uid="{67BBC95A-B7DC-4323-83FD-E923D206C9AB}" uniqueName="6" name="parental_education" queryTableFieldId="6" dataDxfId="5"/>
    <tableColumn id="7" xr3:uid="{4DAD5E23-97B1-40A4-81D6-345096BFBC7E}" uniqueName="7" name="internet_access" queryTableFieldId="7" dataDxfId="4"/>
    <tableColumn id="8" xr3:uid="{B5C758C1-B771-442E-891D-5340CABF389B}" uniqueName="8" name="extracurricular_activities" queryTableFieldId="8" dataDxfId="3"/>
    <tableColumn id="9" xr3:uid="{AA96684A-591D-4CF9-8995-E52917D1D40B}" uniqueName="9" name="part_time_job" queryTableFieldId="9" dataDxfId="2"/>
    <tableColumn id="10" xr3:uid="{E05493A6-B1E4-4AC0-A485-A2DEF252B337}" uniqueName="10" name="previous_grade" queryTableFieldId="10"/>
    <tableColumn id="11" xr3:uid="{DE1EBC46-F6A1-46FD-A8AA-C313F812DB22}" uniqueName="11" name="final_exam_score" queryTableFieldId="11" dataDxfId="1"/>
    <tableColumn id="12" xr3:uid="{DF8170E2-6026-41C0-811C-E16085C94BEF}" uniqueName="12" name="final_grade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1901-04B7-4FF0-AB4C-774A1C27FC19}">
  <dimension ref="A1:L1001"/>
  <sheetViews>
    <sheetView tabSelected="1" topLeftCell="B5" zoomScaleNormal="100" workbookViewId="0">
      <selection activeCell="K1" sqref="K1"/>
    </sheetView>
  </sheetViews>
  <sheetFormatPr defaultRowHeight="14.5" x14ac:dyDescent="0.35"/>
  <cols>
    <col min="1" max="1" width="12" bestFit="1" customWidth="1"/>
    <col min="2" max="2" width="8.81640625" bestFit="1" customWidth="1"/>
    <col min="3" max="3" width="18" style="1" bestFit="1" customWidth="1"/>
    <col min="4" max="4" width="20.08984375" bestFit="1" customWidth="1"/>
    <col min="5" max="5" width="13.1796875" style="1" bestFit="1" customWidth="1"/>
    <col min="6" max="6" width="19.54296875" bestFit="1" customWidth="1"/>
    <col min="7" max="7" width="16.453125" style="2" bestFit="1" customWidth="1"/>
    <col min="8" max="8" width="24.26953125" style="2" bestFit="1" customWidth="1"/>
    <col min="9" max="9" width="14.54296875" bestFit="1" customWidth="1"/>
    <col min="10" max="10" width="16.6328125" customWidth="1"/>
    <col min="11" max="11" width="17.7265625" style="1" bestFit="1" customWidth="1"/>
    <col min="12" max="12" width="12.36328125" bestFit="1" customWidth="1"/>
  </cols>
  <sheetData>
    <row r="1" spans="1:12" x14ac:dyDescent="0.3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s="1" t="s">
        <v>10</v>
      </c>
      <c r="L1" t="s">
        <v>11</v>
      </c>
    </row>
    <row r="2" spans="1:12" x14ac:dyDescent="0.35">
      <c r="A2">
        <v>1</v>
      </c>
      <c r="B2" t="s">
        <v>12</v>
      </c>
      <c r="C2" s="1">
        <v>4</v>
      </c>
      <c r="D2">
        <v>98</v>
      </c>
      <c r="E2" s="1">
        <v>6.5</v>
      </c>
      <c r="F2" t="s">
        <v>13</v>
      </c>
      <c r="G2" s="2" t="s">
        <v>14</v>
      </c>
      <c r="H2" s="2" t="s">
        <v>14</v>
      </c>
      <c r="I2" t="s">
        <v>15</v>
      </c>
      <c r="J2">
        <v>76.900000000000006</v>
      </c>
      <c r="K2" s="1">
        <v>100</v>
      </c>
      <c r="L2" t="s">
        <v>16</v>
      </c>
    </row>
    <row r="3" spans="1:12" x14ac:dyDescent="0.35">
      <c r="A3">
        <v>2</v>
      </c>
      <c r="B3" t="s">
        <v>17</v>
      </c>
      <c r="C3" s="1">
        <v>6.3</v>
      </c>
      <c r="D3">
        <v>100</v>
      </c>
      <c r="E3" s="1">
        <v>5.7</v>
      </c>
      <c r="F3" t="s">
        <v>18</v>
      </c>
      <c r="G3" s="2" t="s">
        <v>14</v>
      </c>
      <c r="H3" s="2" t="s">
        <v>14</v>
      </c>
      <c r="I3" t="s">
        <v>14</v>
      </c>
      <c r="J3">
        <v>75.5</v>
      </c>
      <c r="K3" s="1">
        <v>100</v>
      </c>
      <c r="L3" t="s">
        <v>16</v>
      </c>
    </row>
    <row r="4" spans="1:12" x14ac:dyDescent="0.35">
      <c r="A4">
        <v>3</v>
      </c>
      <c r="B4" t="s">
        <v>12</v>
      </c>
      <c r="C4" s="1">
        <v>4.9000000000000004</v>
      </c>
      <c r="D4">
        <v>85.3</v>
      </c>
      <c r="E4" s="1">
        <v>7.9</v>
      </c>
      <c r="F4" t="s">
        <v>13</v>
      </c>
      <c r="G4" s="2" t="s">
        <v>14</v>
      </c>
      <c r="H4" s="2" t="s">
        <v>15</v>
      </c>
      <c r="I4" t="s">
        <v>14</v>
      </c>
      <c r="J4">
        <v>88.5</v>
      </c>
      <c r="K4" s="1">
        <v>97.3</v>
      </c>
      <c r="L4" t="s">
        <v>16</v>
      </c>
    </row>
    <row r="5" spans="1:12" x14ac:dyDescent="0.35">
      <c r="A5">
        <v>4</v>
      </c>
      <c r="B5" t="s">
        <v>12</v>
      </c>
      <c r="C5" s="1">
        <v>2.6</v>
      </c>
      <c r="D5">
        <v>77.5</v>
      </c>
      <c r="E5" s="1">
        <v>8</v>
      </c>
      <c r="F5" t="s">
        <v>19</v>
      </c>
      <c r="G5" s="2" t="s">
        <v>14</v>
      </c>
      <c r="H5" s="2" t="s">
        <v>14</v>
      </c>
      <c r="I5" t="s">
        <v>15</v>
      </c>
      <c r="J5">
        <v>85.1</v>
      </c>
      <c r="K5" s="1">
        <v>83.8</v>
      </c>
      <c r="L5" t="s">
        <v>20</v>
      </c>
    </row>
    <row r="6" spans="1:12" x14ac:dyDescent="0.35">
      <c r="A6">
        <v>5</v>
      </c>
      <c r="B6" t="s">
        <v>12</v>
      </c>
      <c r="C6" s="1">
        <v>2.2000000000000002</v>
      </c>
      <c r="D6">
        <v>89.6</v>
      </c>
      <c r="E6" s="1">
        <v>4.5999999999999996</v>
      </c>
      <c r="F6" t="s">
        <v>13</v>
      </c>
      <c r="G6" s="2" t="s">
        <v>14</v>
      </c>
      <c r="H6" s="2" t="s">
        <v>15</v>
      </c>
      <c r="I6" t="s">
        <v>14</v>
      </c>
      <c r="J6">
        <v>61.8</v>
      </c>
      <c r="K6" s="1">
        <v>68.3</v>
      </c>
      <c r="L6" t="s">
        <v>21</v>
      </c>
    </row>
    <row r="7" spans="1:12" x14ac:dyDescent="0.35">
      <c r="A7">
        <v>6</v>
      </c>
      <c r="B7" t="s">
        <v>17</v>
      </c>
      <c r="C7" s="1">
        <v>4.2</v>
      </c>
      <c r="D7">
        <v>78.2</v>
      </c>
      <c r="E7" s="1">
        <v>5.7</v>
      </c>
      <c r="F7" t="s">
        <v>18</v>
      </c>
      <c r="G7" s="2" t="s">
        <v>14</v>
      </c>
      <c r="H7" s="2" t="s">
        <v>15</v>
      </c>
      <c r="I7" t="s">
        <v>15</v>
      </c>
      <c r="J7">
        <v>79.8</v>
      </c>
      <c r="K7" s="1">
        <v>81.599999999999994</v>
      </c>
      <c r="L7" t="s">
        <v>20</v>
      </c>
    </row>
    <row r="8" spans="1:12" x14ac:dyDescent="0.35">
      <c r="A8">
        <v>7</v>
      </c>
      <c r="B8" t="s">
        <v>12</v>
      </c>
      <c r="C8" s="1">
        <v>1.5</v>
      </c>
      <c r="D8">
        <v>100</v>
      </c>
      <c r="E8" s="1">
        <v>5</v>
      </c>
      <c r="F8" t="s">
        <v>18</v>
      </c>
      <c r="G8" s="2" t="s">
        <v>14</v>
      </c>
      <c r="H8" s="2" t="s">
        <v>14</v>
      </c>
      <c r="I8" t="s">
        <v>14</v>
      </c>
      <c r="J8">
        <v>58.6</v>
      </c>
      <c r="K8" s="1">
        <v>69.599999999999994</v>
      </c>
      <c r="L8" t="s">
        <v>21</v>
      </c>
    </row>
    <row r="9" spans="1:12" x14ac:dyDescent="0.35">
      <c r="A9">
        <v>8</v>
      </c>
      <c r="B9" t="s">
        <v>12</v>
      </c>
      <c r="C9" s="1">
        <v>6.2</v>
      </c>
      <c r="D9">
        <v>86.4</v>
      </c>
      <c r="E9" s="1">
        <v>6</v>
      </c>
      <c r="F9" t="s">
        <v>18</v>
      </c>
      <c r="G9" s="2" t="s">
        <v>14</v>
      </c>
      <c r="H9" s="2" t="s">
        <v>14</v>
      </c>
      <c r="I9" t="s">
        <v>15</v>
      </c>
      <c r="J9">
        <v>78.400000000000006</v>
      </c>
      <c r="K9" s="1">
        <v>88</v>
      </c>
      <c r="L9" t="s">
        <v>20</v>
      </c>
    </row>
    <row r="10" spans="1:12" x14ac:dyDescent="0.35">
      <c r="A10">
        <v>9</v>
      </c>
      <c r="B10" t="s">
        <v>12</v>
      </c>
      <c r="C10" s="1">
        <v>5.3</v>
      </c>
      <c r="D10">
        <v>81.3</v>
      </c>
      <c r="E10" s="1">
        <v>6.7</v>
      </c>
      <c r="F10" t="s">
        <v>13</v>
      </c>
      <c r="G10" s="2" t="s">
        <v>14</v>
      </c>
      <c r="H10" s="2" t="s">
        <v>15</v>
      </c>
      <c r="I10" t="s">
        <v>15</v>
      </c>
      <c r="J10">
        <v>63.8</v>
      </c>
      <c r="K10" s="1">
        <v>84.4</v>
      </c>
      <c r="L10" t="s">
        <v>20</v>
      </c>
    </row>
    <row r="11" spans="1:12" x14ac:dyDescent="0.35">
      <c r="A11">
        <v>10</v>
      </c>
      <c r="B11" t="s">
        <v>17</v>
      </c>
      <c r="C11" s="1">
        <v>2.8</v>
      </c>
      <c r="D11">
        <v>86.8</v>
      </c>
      <c r="E11" s="1">
        <v>5.0999999999999996</v>
      </c>
      <c r="F11" t="s">
        <v>13</v>
      </c>
      <c r="G11" s="2" t="s">
        <v>14</v>
      </c>
      <c r="H11" s="2" t="s">
        <v>14</v>
      </c>
      <c r="I11" t="s">
        <v>15</v>
      </c>
      <c r="J11">
        <v>57.7</v>
      </c>
      <c r="K11" s="1">
        <v>74.3</v>
      </c>
      <c r="L11" t="s">
        <v>22</v>
      </c>
    </row>
    <row r="12" spans="1:12" x14ac:dyDescent="0.35">
      <c r="A12">
        <v>11</v>
      </c>
      <c r="B12" t="s">
        <v>12</v>
      </c>
      <c r="C12" s="1">
        <v>0.9</v>
      </c>
      <c r="D12">
        <v>71.5</v>
      </c>
      <c r="E12" s="1">
        <v>5.7</v>
      </c>
      <c r="F12" t="s">
        <v>18</v>
      </c>
      <c r="G12" s="2" t="s">
        <v>14</v>
      </c>
      <c r="H12" s="2" t="s">
        <v>15</v>
      </c>
      <c r="I12" t="s">
        <v>14</v>
      </c>
      <c r="J12">
        <v>73.400000000000006</v>
      </c>
      <c r="K12" s="1">
        <v>68.900000000000006</v>
      </c>
      <c r="L12" t="s">
        <v>21</v>
      </c>
    </row>
    <row r="13" spans="1:12" x14ac:dyDescent="0.35">
      <c r="A13">
        <v>12</v>
      </c>
      <c r="B13" t="s">
        <v>12</v>
      </c>
      <c r="C13" s="1">
        <v>5.5</v>
      </c>
      <c r="D13">
        <v>75.3</v>
      </c>
      <c r="E13" s="1">
        <v>5.6</v>
      </c>
      <c r="F13" t="s">
        <v>19</v>
      </c>
      <c r="G13" s="2" t="s">
        <v>14</v>
      </c>
      <c r="H13" s="2" t="s">
        <v>14</v>
      </c>
      <c r="I13" t="s">
        <v>15</v>
      </c>
      <c r="J13">
        <v>37.9</v>
      </c>
      <c r="K13" s="1">
        <v>76.7</v>
      </c>
      <c r="L13" t="s">
        <v>22</v>
      </c>
    </row>
    <row r="14" spans="1:12" x14ac:dyDescent="0.35">
      <c r="A14">
        <v>13</v>
      </c>
      <c r="B14" t="s">
        <v>12</v>
      </c>
      <c r="C14" s="1">
        <v>3.3</v>
      </c>
      <c r="D14">
        <v>97</v>
      </c>
      <c r="E14" s="1">
        <v>7</v>
      </c>
      <c r="F14" t="s">
        <v>23</v>
      </c>
      <c r="G14" s="2" t="s">
        <v>14</v>
      </c>
      <c r="H14" s="2" t="s">
        <v>14</v>
      </c>
      <c r="I14" t="s">
        <v>14</v>
      </c>
      <c r="J14">
        <v>49</v>
      </c>
      <c r="K14" s="1">
        <v>82.6</v>
      </c>
      <c r="L14" t="s">
        <v>20</v>
      </c>
    </row>
    <row r="15" spans="1:12" x14ac:dyDescent="0.35">
      <c r="A15">
        <v>14</v>
      </c>
      <c r="B15" t="s">
        <v>12</v>
      </c>
      <c r="C15" s="1">
        <v>5.4</v>
      </c>
      <c r="D15">
        <v>78.400000000000006</v>
      </c>
      <c r="E15" s="1">
        <v>6.9</v>
      </c>
      <c r="F15" t="s">
        <v>13</v>
      </c>
      <c r="G15" s="2" t="s">
        <v>15</v>
      </c>
      <c r="H15" s="2" t="s">
        <v>15</v>
      </c>
      <c r="I15" t="s">
        <v>15</v>
      </c>
      <c r="J15">
        <v>67.900000000000006</v>
      </c>
      <c r="K15" s="1">
        <v>93.3</v>
      </c>
      <c r="L15" t="s">
        <v>16</v>
      </c>
    </row>
    <row r="16" spans="1:12" x14ac:dyDescent="0.35">
      <c r="A16">
        <v>15</v>
      </c>
      <c r="B16" t="s">
        <v>17</v>
      </c>
      <c r="C16" s="1">
        <v>1.1000000000000001</v>
      </c>
      <c r="D16">
        <v>74.5</v>
      </c>
      <c r="E16" s="1">
        <v>5.9</v>
      </c>
      <c r="F16" t="s">
        <v>23</v>
      </c>
      <c r="G16" s="2" t="s">
        <v>14</v>
      </c>
      <c r="H16" s="2" t="s">
        <v>14</v>
      </c>
      <c r="I16" t="s">
        <v>14</v>
      </c>
      <c r="J16">
        <v>71</v>
      </c>
      <c r="K16" s="1">
        <v>73.900000000000006</v>
      </c>
      <c r="L16" t="s">
        <v>22</v>
      </c>
    </row>
    <row r="17" spans="1:12" x14ac:dyDescent="0.35">
      <c r="A17">
        <v>16</v>
      </c>
      <c r="B17" t="s">
        <v>12</v>
      </c>
      <c r="C17" s="1">
        <v>2.6</v>
      </c>
      <c r="D17">
        <v>90.4</v>
      </c>
      <c r="E17" s="1">
        <v>7</v>
      </c>
      <c r="F17" t="s">
        <v>18</v>
      </c>
      <c r="G17" s="2" t="s">
        <v>14</v>
      </c>
      <c r="H17" s="2" t="s">
        <v>14</v>
      </c>
      <c r="I17" t="s">
        <v>15</v>
      </c>
      <c r="J17">
        <v>65.599999999999994</v>
      </c>
      <c r="K17" s="1">
        <v>84.8</v>
      </c>
      <c r="L17" t="s">
        <v>20</v>
      </c>
    </row>
    <row r="18" spans="1:12" x14ac:dyDescent="0.35">
      <c r="A18">
        <v>17</v>
      </c>
      <c r="B18" t="s">
        <v>17</v>
      </c>
      <c r="C18" s="1">
        <v>3.5</v>
      </c>
      <c r="D18">
        <v>96.9</v>
      </c>
      <c r="E18" s="1">
        <v>6.1</v>
      </c>
      <c r="F18" t="s">
        <v>13</v>
      </c>
      <c r="G18" s="2" t="s">
        <v>14</v>
      </c>
      <c r="H18" s="2" t="s">
        <v>14</v>
      </c>
      <c r="I18" t="s">
        <v>15</v>
      </c>
      <c r="J18">
        <v>51</v>
      </c>
      <c r="K18" s="1">
        <v>81.5</v>
      </c>
      <c r="L18" t="s">
        <v>20</v>
      </c>
    </row>
    <row r="19" spans="1:12" x14ac:dyDescent="0.35">
      <c r="A19">
        <v>18</v>
      </c>
      <c r="B19" t="s">
        <v>17</v>
      </c>
      <c r="C19" s="1">
        <v>3.6</v>
      </c>
      <c r="D19">
        <v>92.2</v>
      </c>
      <c r="E19" s="1">
        <v>6.5</v>
      </c>
      <c r="F19" t="s">
        <v>13</v>
      </c>
      <c r="G19" s="2" t="s">
        <v>14</v>
      </c>
      <c r="H19" s="2" t="s">
        <v>14</v>
      </c>
      <c r="I19" t="s">
        <v>14</v>
      </c>
      <c r="J19">
        <v>60.2</v>
      </c>
      <c r="K19" s="1">
        <v>75.5</v>
      </c>
      <c r="L19" t="s">
        <v>22</v>
      </c>
    </row>
    <row r="20" spans="1:12" x14ac:dyDescent="0.35">
      <c r="A20">
        <v>19</v>
      </c>
      <c r="B20" t="s">
        <v>17</v>
      </c>
      <c r="C20" s="1">
        <v>2.8</v>
      </c>
      <c r="D20">
        <v>95</v>
      </c>
      <c r="E20" s="1">
        <v>8.8000000000000007</v>
      </c>
      <c r="F20" t="s">
        <v>23</v>
      </c>
      <c r="G20" s="2" t="s">
        <v>15</v>
      </c>
      <c r="H20" s="2" t="s">
        <v>14</v>
      </c>
      <c r="I20" t="s">
        <v>15</v>
      </c>
      <c r="J20">
        <v>74.7</v>
      </c>
      <c r="K20" s="1">
        <v>89.7</v>
      </c>
      <c r="L20" t="s">
        <v>20</v>
      </c>
    </row>
    <row r="21" spans="1:12" x14ac:dyDescent="0.35">
      <c r="A21">
        <v>20</v>
      </c>
      <c r="B21" t="s">
        <v>12</v>
      </c>
      <c r="C21" s="1">
        <v>4.4000000000000004</v>
      </c>
      <c r="D21">
        <v>77.400000000000006</v>
      </c>
      <c r="E21" s="1">
        <v>8.4</v>
      </c>
      <c r="F21" t="s">
        <v>23</v>
      </c>
      <c r="G21" s="2" t="s">
        <v>15</v>
      </c>
      <c r="H21" s="2" t="s">
        <v>15</v>
      </c>
      <c r="I21" t="s">
        <v>14</v>
      </c>
      <c r="J21">
        <v>77</v>
      </c>
      <c r="K21" s="1">
        <v>92.8</v>
      </c>
      <c r="L21" t="s">
        <v>16</v>
      </c>
    </row>
    <row r="22" spans="1:12" x14ac:dyDescent="0.35">
      <c r="A22">
        <v>21</v>
      </c>
      <c r="B22" t="s">
        <v>17</v>
      </c>
      <c r="C22" s="1">
        <v>1.9</v>
      </c>
      <c r="D22">
        <v>70.8</v>
      </c>
      <c r="E22" s="1">
        <v>5.2</v>
      </c>
      <c r="F22" t="s">
        <v>18</v>
      </c>
      <c r="G22" s="2" t="s">
        <v>14</v>
      </c>
      <c r="H22" s="2" t="s">
        <v>14</v>
      </c>
      <c r="I22" t="s">
        <v>15</v>
      </c>
      <c r="J22">
        <v>69.8</v>
      </c>
      <c r="K22" s="1">
        <v>73.5</v>
      </c>
      <c r="L22" t="s">
        <v>22</v>
      </c>
    </row>
    <row r="23" spans="1:12" x14ac:dyDescent="0.35">
      <c r="A23">
        <v>22</v>
      </c>
      <c r="B23" t="s">
        <v>12</v>
      </c>
      <c r="C23" s="1">
        <v>3.3</v>
      </c>
      <c r="D23">
        <v>100</v>
      </c>
      <c r="E23" s="1">
        <v>7.8</v>
      </c>
      <c r="F23" t="s">
        <v>19</v>
      </c>
      <c r="G23" s="2" t="s">
        <v>14</v>
      </c>
      <c r="H23" s="2" t="s">
        <v>14</v>
      </c>
      <c r="I23" t="s">
        <v>15</v>
      </c>
      <c r="J23">
        <v>83.9</v>
      </c>
      <c r="K23" s="1">
        <v>100</v>
      </c>
      <c r="L23" t="s">
        <v>16</v>
      </c>
    </row>
    <row r="24" spans="1:12" x14ac:dyDescent="0.35">
      <c r="A24">
        <v>23</v>
      </c>
      <c r="B24" t="s">
        <v>17</v>
      </c>
      <c r="C24" s="1">
        <v>3.7</v>
      </c>
      <c r="D24">
        <v>81.8</v>
      </c>
      <c r="E24" s="1">
        <v>7.8</v>
      </c>
      <c r="F24" t="s">
        <v>18</v>
      </c>
      <c r="G24" s="2" t="s">
        <v>15</v>
      </c>
      <c r="H24" s="2" t="s">
        <v>15</v>
      </c>
      <c r="I24" t="s">
        <v>15</v>
      </c>
      <c r="J24">
        <v>74.8</v>
      </c>
      <c r="K24" s="1">
        <v>73.400000000000006</v>
      </c>
      <c r="L24" t="s">
        <v>22</v>
      </c>
    </row>
    <row r="25" spans="1:12" x14ac:dyDescent="0.35">
      <c r="A25">
        <v>24</v>
      </c>
      <c r="B25" t="s">
        <v>17</v>
      </c>
      <c r="C25" s="1">
        <v>4.3</v>
      </c>
      <c r="D25">
        <v>82.5</v>
      </c>
      <c r="E25" s="1">
        <v>5.4</v>
      </c>
      <c r="F25" t="s">
        <v>24</v>
      </c>
      <c r="G25" s="2" t="s">
        <v>15</v>
      </c>
      <c r="H25" s="2" t="s">
        <v>14</v>
      </c>
      <c r="I25" t="s">
        <v>15</v>
      </c>
      <c r="J25">
        <v>61</v>
      </c>
      <c r="K25" s="1">
        <v>71.2</v>
      </c>
      <c r="L25" t="s">
        <v>22</v>
      </c>
    </row>
    <row r="26" spans="1:12" x14ac:dyDescent="0.35">
      <c r="A26">
        <v>25</v>
      </c>
      <c r="B26" t="s">
        <v>17</v>
      </c>
      <c r="C26" s="1">
        <v>4.5999999999999996</v>
      </c>
      <c r="D26">
        <v>98.3</v>
      </c>
      <c r="E26" s="1">
        <v>7.8</v>
      </c>
      <c r="F26" t="s">
        <v>19</v>
      </c>
      <c r="G26" s="2" t="s">
        <v>14</v>
      </c>
      <c r="H26" s="2" t="s">
        <v>14</v>
      </c>
      <c r="I26" t="s">
        <v>14</v>
      </c>
      <c r="J26">
        <v>66.599999999999994</v>
      </c>
      <c r="K26" s="1">
        <v>97.2</v>
      </c>
      <c r="L26" t="s">
        <v>16</v>
      </c>
    </row>
    <row r="27" spans="1:12" x14ac:dyDescent="0.35">
      <c r="A27">
        <v>26</v>
      </c>
      <c r="B27" t="s">
        <v>17</v>
      </c>
      <c r="C27" s="1">
        <v>1.8</v>
      </c>
      <c r="D27">
        <v>90.6</v>
      </c>
      <c r="E27" s="1">
        <v>8.6</v>
      </c>
      <c r="F27" t="s">
        <v>18</v>
      </c>
      <c r="G27" s="2" t="s">
        <v>14</v>
      </c>
      <c r="H27" s="2" t="s">
        <v>15</v>
      </c>
      <c r="I27" t="s">
        <v>15</v>
      </c>
      <c r="J27">
        <v>53.2</v>
      </c>
      <c r="K27" s="1">
        <v>76</v>
      </c>
      <c r="L27" t="s">
        <v>22</v>
      </c>
    </row>
    <row r="28" spans="1:12" x14ac:dyDescent="0.35">
      <c r="A28">
        <v>27</v>
      </c>
      <c r="B28" t="s">
        <v>17</v>
      </c>
      <c r="C28" s="1">
        <v>1.2</v>
      </c>
      <c r="D28">
        <v>89.6</v>
      </c>
      <c r="E28" s="1">
        <v>5.5</v>
      </c>
      <c r="F28" t="s">
        <v>23</v>
      </c>
      <c r="G28" s="2" t="s">
        <v>14</v>
      </c>
      <c r="H28" s="2" t="s">
        <v>15</v>
      </c>
      <c r="I28" t="s">
        <v>14</v>
      </c>
      <c r="J28">
        <v>68.7</v>
      </c>
      <c r="K28" s="1">
        <v>78.7</v>
      </c>
      <c r="L28" t="s">
        <v>22</v>
      </c>
    </row>
    <row r="29" spans="1:12" x14ac:dyDescent="0.35">
      <c r="A29">
        <v>28</v>
      </c>
      <c r="B29" t="s">
        <v>17</v>
      </c>
      <c r="C29" s="1">
        <v>5.4</v>
      </c>
      <c r="D29">
        <v>100</v>
      </c>
      <c r="E29" s="1">
        <v>5.7</v>
      </c>
      <c r="F29" t="s">
        <v>18</v>
      </c>
      <c r="G29" s="2" t="s">
        <v>15</v>
      </c>
      <c r="H29" s="2" t="s">
        <v>15</v>
      </c>
      <c r="I29" t="s">
        <v>15</v>
      </c>
      <c r="J29">
        <v>83.3</v>
      </c>
      <c r="K29" s="1">
        <v>97.4</v>
      </c>
      <c r="L29" t="s">
        <v>16</v>
      </c>
    </row>
    <row r="30" spans="1:12" x14ac:dyDescent="0.35">
      <c r="A30">
        <v>29</v>
      </c>
      <c r="B30" t="s">
        <v>17</v>
      </c>
      <c r="C30" s="1">
        <v>4</v>
      </c>
      <c r="D30">
        <v>78.599999999999994</v>
      </c>
      <c r="E30" s="1">
        <v>8</v>
      </c>
      <c r="F30" t="s">
        <v>13</v>
      </c>
      <c r="G30" s="2" t="s">
        <v>14</v>
      </c>
      <c r="H30" s="2" t="s">
        <v>15</v>
      </c>
      <c r="I30" t="s">
        <v>15</v>
      </c>
      <c r="J30">
        <v>78.2</v>
      </c>
      <c r="K30" s="1">
        <v>84.2</v>
      </c>
      <c r="L30" t="s">
        <v>20</v>
      </c>
    </row>
    <row r="31" spans="1:12" x14ac:dyDescent="0.35">
      <c r="A31">
        <v>30</v>
      </c>
      <c r="B31" t="s">
        <v>17</v>
      </c>
      <c r="C31" s="1">
        <v>2.4</v>
      </c>
      <c r="D31">
        <v>94.3</v>
      </c>
      <c r="E31" s="1">
        <v>7.1</v>
      </c>
      <c r="F31" t="s">
        <v>13</v>
      </c>
      <c r="G31" s="2" t="s">
        <v>14</v>
      </c>
      <c r="H31" s="2" t="s">
        <v>14</v>
      </c>
      <c r="I31" t="s">
        <v>15</v>
      </c>
      <c r="J31">
        <v>86.8</v>
      </c>
      <c r="K31" s="1">
        <v>89.8</v>
      </c>
      <c r="L31" t="s">
        <v>20</v>
      </c>
    </row>
    <row r="32" spans="1:12" x14ac:dyDescent="0.35">
      <c r="A32">
        <v>31</v>
      </c>
      <c r="B32" t="s">
        <v>12</v>
      </c>
      <c r="C32" s="1">
        <v>5.8</v>
      </c>
      <c r="D32">
        <v>85.6</v>
      </c>
      <c r="E32" s="1">
        <v>7.5</v>
      </c>
      <c r="F32" t="s">
        <v>13</v>
      </c>
      <c r="G32" s="2" t="s">
        <v>14</v>
      </c>
      <c r="H32" s="2" t="s">
        <v>15</v>
      </c>
      <c r="I32" t="s">
        <v>14</v>
      </c>
      <c r="J32">
        <v>66.400000000000006</v>
      </c>
      <c r="K32" s="1">
        <v>82.4</v>
      </c>
      <c r="L32" t="s">
        <v>20</v>
      </c>
    </row>
    <row r="33" spans="1:12" x14ac:dyDescent="0.35">
      <c r="A33">
        <v>32</v>
      </c>
      <c r="B33" t="s">
        <v>12</v>
      </c>
      <c r="C33" s="1">
        <v>3.7</v>
      </c>
      <c r="D33">
        <v>87.7</v>
      </c>
      <c r="E33" s="1">
        <v>7.2</v>
      </c>
      <c r="F33" t="s">
        <v>19</v>
      </c>
      <c r="G33" s="2" t="s">
        <v>14</v>
      </c>
      <c r="H33" s="2" t="s">
        <v>14</v>
      </c>
      <c r="I33" t="s">
        <v>15</v>
      </c>
      <c r="J33">
        <v>86.2</v>
      </c>
      <c r="K33" s="1">
        <v>87.7</v>
      </c>
      <c r="L33" t="s">
        <v>20</v>
      </c>
    </row>
    <row r="34" spans="1:12" x14ac:dyDescent="0.35">
      <c r="A34">
        <v>33</v>
      </c>
      <c r="B34" t="s">
        <v>17</v>
      </c>
      <c r="C34" s="1">
        <v>5.3</v>
      </c>
      <c r="D34">
        <v>100</v>
      </c>
      <c r="E34" s="1">
        <v>7.3</v>
      </c>
      <c r="F34" t="s">
        <v>23</v>
      </c>
      <c r="G34" s="2" t="s">
        <v>14</v>
      </c>
      <c r="H34" s="2" t="s">
        <v>14</v>
      </c>
      <c r="I34" t="s">
        <v>15</v>
      </c>
      <c r="J34">
        <v>67.7</v>
      </c>
      <c r="K34" s="1">
        <v>100</v>
      </c>
      <c r="L34" t="s">
        <v>16</v>
      </c>
    </row>
    <row r="35" spans="1:12" x14ac:dyDescent="0.35">
      <c r="A35">
        <v>34</v>
      </c>
      <c r="B35" t="s">
        <v>17</v>
      </c>
      <c r="C35" s="1">
        <v>3.6</v>
      </c>
      <c r="D35">
        <v>90.1</v>
      </c>
      <c r="E35" s="1">
        <v>5.2</v>
      </c>
      <c r="F35" t="s">
        <v>13</v>
      </c>
      <c r="G35" s="2" t="s">
        <v>15</v>
      </c>
      <c r="H35" s="2" t="s">
        <v>14</v>
      </c>
      <c r="I35" t="s">
        <v>15</v>
      </c>
      <c r="J35">
        <v>87.7</v>
      </c>
      <c r="K35" s="1">
        <v>93.3</v>
      </c>
      <c r="L35" t="s">
        <v>16</v>
      </c>
    </row>
    <row r="36" spans="1:12" x14ac:dyDescent="0.35">
      <c r="A36">
        <v>35</v>
      </c>
      <c r="B36" t="s">
        <v>17</v>
      </c>
      <c r="C36" s="1">
        <v>6.6</v>
      </c>
      <c r="D36">
        <v>90.4</v>
      </c>
      <c r="E36" s="1">
        <v>8.1</v>
      </c>
      <c r="F36" t="s">
        <v>23</v>
      </c>
      <c r="G36" s="2" t="s">
        <v>14</v>
      </c>
      <c r="H36" s="2" t="s">
        <v>14</v>
      </c>
      <c r="I36" t="s">
        <v>14</v>
      </c>
      <c r="J36">
        <v>69.7</v>
      </c>
      <c r="K36" s="1">
        <v>100</v>
      </c>
      <c r="L36" t="s">
        <v>16</v>
      </c>
    </row>
    <row r="37" spans="1:12" x14ac:dyDescent="0.35">
      <c r="A37">
        <v>36</v>
      </c>
      <c r="B37" t="s">
        <v>12</v>
      </c>
      <c r="C37" s="1">
        <v>6.1</v>
      </c>
      <c r="D37">
        <v>95.7</v>
      </c>
      <c r="E37" s="1">
        <v>8.1999999999999993</v>
      </c>
      <c r="F37" t="s">
        <v>19</v>
      </c>
      <c r="G37" s="2" t="s">
        <v>14</v>
      </c>
      <c r="H37" s="2" t="s">
        <v>14</v>
      </c>
      <c r="I37" t="s">
        <v>14</v>
      </c>
      <c r="J37">
        <v>78.5</v>
      </c>
      <c r="K37" s="1">
        <v>92.9</v>
      </c>
      <c r="L37" t="s">
        <v>16</v>
      </c>
    </row>
    <row r="38" spans="1:12" x14ac:dyDescent="0.35">
      <c r="A38">
        <v>37</v>
      </c>
      <c r="B38" t="s">
        <v>17</v>
      </c>
      <c r="C38" s="1">
        <v>3.1</v>
      </c>
      <c r="D38">
        <v>81.400000000000006</v>
      </c>
      <c r="E38" s="1">
        <v>6.5</v>
      </c>
      <c r="F38" t="s">
        <v>18</v>
      </c>
      <c r="G38" s="2" t="s">
        <v>14</v>
      </c>
      <c r="H38" s="2" t="s">
        <v>15</v>
      </c>
      <c r="I38" t="s">
        <v>14</v>
      </c>
      <c r="J38">
        <v>87.7</v>
      </c>
      <c r="K38" s="1">
        <v>83.2</v>
      </c>
      <c r="L38" t="s">
        <v>20</v>
      </c>
    </row>
    <row r="39" spans="1:12" x14ac:dyDescent="0.35">
      <c r="A39">
        <v>38</v>
      </c>
      <c r="B39" t="s">
        <v>12</v>
      </c>
      <c r="C39" s="1">
        <v>5</v>
      </c>
      <c r="D39">
        <v>76.599999999999994</v>
      </c>
      <c r="E39" s="1">
        <v>6.7</v>
      </c>
      <c r="F39" t="s">
        <v>19</v>
      </c>
      <c r="G39" s="2" t="s">
        <v>14</v>
      </c>
      <c r="H39" s="2" t="s">
        <v>14</v>
      </c>
      <c r="I39" t="s">
        <v>15</v>
      </c>
      <c r="J39">
        <v>67.7</v>
      </c>
      <c r="K39" s="1">
        <v>81.099999999999994</v>
      </c>
      <c r="L39" t="s">
        <v>20</v>
      </c>
    </row>
    <row r="40" spans="1:12" x14ac:dyDescent="0.35">
      <c r="A40">
        <v>39</v>
      </c>
      <c r="B40" t="s">
        <v>12</v>
      </c>
      <c r="C40" s="1">
        <v>4.5</v>
      </c>
      <c r="D40">
        <v>74.599999999999994</v>
      </c>
      <c r="E40" s="1">
        <v>5</v>
      </c>
      <c r="F40" t="s">
        <v>18</v>
      </c>
      <c r="G40" s="2" t="s">
        <v>14</v>
      </c>
      <c r="H40" s="2" t="s">
        <v>14</v>
      </c>
      <c r="I40" t="s">
        <v>14</v>
      </c>
      <c r="J40">
        <v>72.599999999999994</v>
      </c>
      <c r="K40" s="1">
        <v>89.5</v>
      </c>
      <c r="L40" t="s">
        <v>20</v>
      </c>
    </row>
    <row r="41" spans="1:12" x14ac:dyDescent="0.35">
      <c r="A41">
        <v>40</v>
      </c>
      <c r="B41" t="s">
        <v>12</v>
      </c>
      <c r="C41" s="1">
        <v>5.6</v>
      </c>
      <c r="D41">
        <v>65.3</v>
      </c>
      <c r="E41" s="1">
        <v>7.4</v>
      </c>
      <c r="F41" t="s">
        <v>23</v>
      </c>
      <c r="G41" s="2" t="s">
        <v>14</v>
      </c>
      <c r="H41" s="2" t="s">
        <v>14</v>
      </c>
      <c r="I41" t="s">
        <v>15</v>
      </c>
      <c r="J41">
        <v>85.5</v>
      </c>
      <c r="K41" s="1">
        <v>91.6</v>
      </c>
      <c r="L41" t="s">
        <v>16</v>
      </c>
    </row>
    <row r="42" spans="1:12" x14ac:dyDescent="0.35">
      <c r="A42">
        <v>41</v>
      </c>
      <c r="B42" t="s">
        <v>12</v>
      </c>
      <c r="C42" s="1">
        <v>2.1</v>
      </c>
      <c r="D42">
        <v>100</v>
      </c>
      <c r="E42" s="1">
        <v>7.5</v>
      </c>
      <c r="F42" t="s">
        <v>18</v>
      </c>
      <c r="G42" s="2" t="s">
        <v>14</v>
      </c>
      <c r="H42" s="2" t="s">
        <v>14</v>
      </c>
      <c r="I42" t="s">
        <v>14</v>
      </c>
      <c r="J42">
        <v>68.400000000000006</v>
      </c>
      <c r="K42" s="1">
        <v>75.3</v>
      </c>
      <c r="L42" t="s">
        <v>22</v>
      </c>
    </row>
    <row r="43" spans="1:12" x14ac:dyDescent="0.35">
      <c r="A43">
        <v>42</v>
      </c>
      <c r="B43" t="s">
        <v>12</v>
      </c>
      <c r="C43" s="1">
        <v>4.5</v>
      </c>
      <c r="D43">
        <v>74</v>
      </c>
      <c r="E43" s="1">
        <v>6.7</v>
      </c>
      <c r="F43" t="s">
        <v>18</v>
      </c>
      <c r="G43" s="2" t="s">
        <v>14</v>
      </c>
      <c r="H43" s="2" t="s">
        <v>15</v>
      </c>
      <c r="I43" t="s">
        <v>15</v>
      </c>
      <c r="J43">
        <v>54.1</v>
      </c>
      <c r="K43" s="1">
        <v>79</v>
      </c>
      <c r="L43" t="s">
        <v>22</v>
      </c>
    </row>
    <row r="44" spans="1:12" x14ac:dyDescent="0.35">
      <c r="A44">
        <v>43</v>
      </c>
      <c r="B44" t="s">
        <v>17</v>
      </c>
      <c r="C44" s="1">
        <v>5.0999999999999996</v>
      </c>
      <c r="D44">
        <v>82.8</v>
      </c>
      <c r="E44" s="1">
        <v>8.1</v>
      </c>
      <c r="F44" t="s">
        <v>13</v>
      </c>
      <c r="G44" s="2" t="s">
        <v>14</v>
      </c>
      <c r="H44" s="2" t="s">
        <v>14</v>
      </c>
      <c r="I44" t="s">
        <v>15</v>
      </c>
      <c r="J44">
        <v>95.7</v>
      </c>
      <c r="K44" s="1">
        <v>100</v>
      </c>
      <c r="L44" t="s">
        <v>16</v>
      </c>
    </row>
    <row r="45" spans="1:12" x14ac:dyDescent="0.35">
      <c r="A45">
        <v>44</v>
      </c>
      <c r="B45" t="s">
        <v>17</v>
      </c>
      <c r="C45" s="1">
        <v>0.9</v>
      </c>
      <c r="D45">
        <v>82.2</v>
      </c>
      <c r="E45" s="1">
        <v>6.4</v>
      </c>
      <c r="F45" t="s">
        <v>13</v>
      </c>
      <c r="G45" s="2" t="s">
        <v>14</v>
      </c>
      <c r="H45" s="2" t="s">
        <v>14</v>
      </c>
      <c r="I45" t="s">
        <v>15</v>
      </c>
      <c r="J45">
        <v>64.400000000000006</v>
      </c>
      <c r="K45" s="1">
        <v>79.2</v>
      </c>
      <c r="L45" t="s">
        <v>22</v>
      </c>
    </row>
    <row r="46" spans="1:12" x14ac:dyDescent="0.35">
      <c r="A46">
        <v>45</v>
      </c>
      <c r="B46" t="s">
        <v>17</v>
      </c>
      <c r="C46" s="1">
        <v>1.7</v>
      </c>
      <c r="D46">
        <v>88.1</v>
      </c>
      <c r="E46" s="1">
        <v>7.5</v>
      </c>
      <c r="F46" t="s">
        <v>13</v>
      </c>
      <c r="G46" s="2" t="s">
        <v>15</v>
      </c>
      <c r="H46" s="2" t="s">
        <v>14</v>
      </c>
      <c r="I46" t="s">
        <v>15</v>
      </c>
      <c r="J46">
        <v>71.900000000000006</v>
      </c>
      <c r="K46" s="1">
        <v>70.8</v>
      </c>
      <c r="L46" t="s">
        <v>22</v>
      </c>
    </row>
    <row r="47" spans="1:12" x14ac:dyDescent="0.35">
      <c r="A47">
        <v>46</v>
      </c>
      <c r="B47" t="s">
        <v>17</v>
      </c>
      <c r="C47" s="1">
        <v>0.5</v>
      </c>
      <c r="D47">
        <v>93.2</v>
      </c>
      <c r="E47" s="1">
        <v>5.6</v>
      </c>
      <c r="F47" t="s">
        <v>18</v>
      </c>
      <c r="G47" s="2" t="s">
        <v>15</v>
      </c>
      <c r="H47" s="2" t="s">
        <v>15</v>
      </c>
      <c r="I47" t="s">
        <v>14</v>
      </c>
      <c r="J47">
        <v>83.9</v>
      </c>
      <c r="K47" s="1">
        <v>61.8</v>
      </c>
      <c r="L47" t="s">
        <v>21</v>
      </c>
    </row>
    <row r="48" spans="1:12" x14ac:dyDescent="0.35">
      <c r="A48">
        <v>47</v>
      </c>
      <c r="B48" t="s">
        <v>17</v>
      </c>
      <c r="C48" s="1">
        <v>3.1</v>
      </c>
      <c r="D48">
        <v>93.6</v>
      </c>
      <c r="E48" s="1">
        <v>6.8</v>
      </c>
      <c r="F48" t="s">
        <v>13</v>
      </c>
      <c r="G48" s="2" t="s">
        <v>14</v>
      </c>
      <c r="H48" s="2" t="s">
        <v>14</v>
      </c>
      <c r="I48" t="s">
        <v>14</v>
      </c>
      <c r="J48">
        <v>62.7</v>
      </c>
      <c r="K48" s="1">
        <v>68</v>
      </c>
      <c r="L48" t="s">
        <v>21</v>
      </c>
    </row>
    <row r="49" spans="1:12" x14ac:dyDescent="0.35">
      <c r="A49">
        <v>48</v>
      </c>
      <c r="B49" t="s">
        <v>12</v>
      </c>
      <c r="C49" s="1">
        <v>4.5999999999999996</v>
      </c>
      <c r="D49">
        <v>79.2</v>
      </c>
      <c r="E49" s="1">
        <v>6.6</v>
      </c>
      <c r="F49" t="s">
        <v>19</v>
      </c>
      <c r="G49" s="2" t="s">
        <v>14</v>
      </c>
      <c r="H49" s="2" t="s">
        <v>14</v>
      </c>
      <c r="I49" t="s">
        <v>14</v>
      </c>
      <c r="J49">
        <v>57.9</v>
      </c>
      <c r="K49" s="1">
        <v>80.3</v>
      </c>
      <c r="L49" t="s">
        <v>20</v>
      </c>
    </row>
    <row r="50" spans="1:12" x14ac:dyDescent="0.35">
      <c r="A50">
        <v>49</v>
      </c>
      <c r="B50" t="s">
        <v>17</v>
      </c>
      <c r="C50" s="1">
        <v>5.8</v>
      </c>
      <c r="D50">
        <v>83.3</v>
      </c>
      <c r="E50" s="1">
        <v>7.1</v>
      </c>
      <c r="F50" t="s">
        <v>13</v>
      </c>
      <c r="G50" s="2" t="s">
        <v>15</v>
      </c>
      <c r="H50" s="2" t="s">
        <v>14</v>
      </c>
      <c r="I50" t="s">
        <v>15</v>
      </c>
      <c r="J50">
        <v>73</v>
      </c>
      <c r="K50" s="1">
        <v>88.6</v>
      </c>
      <c r="L50" t="s">
        <v>20</v>
      </c>
    </row>
    <row r="51" spans="1:12" x14ac:dyDescent="0.35">
      <c r="A51">
        <v>50</v>
      </c>
      <c r="B51" t="s">
        <v>17</v>
      </c>
      <c r="C51" s="1">
        <v>3.6</v>
      </c>
      <c r="D51">
        <v>87.8</v>
      </c>
      <c r="E51" s="1">
        <v>6.4</v>
      </c>
      <c r="F51" t="s">
        <v>18</v>
      </c>
      <c r="G51" s="2" t="s">
        <v>14</v>
      </c>
      <c r="H51" s="2" t="s">
        <v>14</v>
      </c>
      <c r="I51" t="s">
        <v>15</v>
      </c>
      <c r="J51">
        <v>48.5</v>
      </c>
      <c r="K51" s="1">
        <v>69.400000000000006</v>
      </c>
      <c r="L51" t="s">
        <v>21</v>
      </c>
    </row>
    <row r="52" spans="1:12" x14ac:dyDescent="0.35">
      <c r="A52">
        <v>51</v>
      </c>
      <c r="B52" t="s">
        <v>12</v>
      </c>
      <c r="C52" s="1">
        <v>5.9</v>
      </c>
      <c r="D52">
        <v>82.5</v>
      </c>
      <c r="E52" s="1">
        <v>6.6</v>
      </c>
      <c r="F52" t="s">
        <v>13</v>
      </c>
      <c r="G52" s="2" t="s">
        <v>14</v>
      </c>
      <c r="H52" s="2" t="s">
        <v>14</v>
      </c>
      <c r="I52" t="s">
        <v>15</v>
      </c>
      <c r="J52">
        <v>66.5</v>
      </c>
      <c r="K52" s="1">
        <v>100</v>
      </c>
      <c r="L52" t="s">
        <v>16</v>
      </c>
    </row>
    <row r="53" spans="1:12" x14ac:dyDescent="0.35">
      <c r="A53">
        <v>52</v>
      </c>
      <c r="B53" t="s">
        <v>17</v>
      </c>
      <c r="C53" s="1">
        <v>1.4</v>
      </c>
      <c r="D53">
        <v>100</v>
      </c>
      <c r="E53" s="1">
        <v>7.8</v>
      </c>
      <c r="F53" t="s">
        <v>18</v>
      </c>
      <c r="G53" s="2" t="s">
        <v>15</v>
      </c>
      <c r="H53" s="2" t="s">
        <v>15</v>
      </c>
      <c r="I53" t="s">
        <v>15</v>
      </c>
      <c r="J53">
        <v>72.900000000000006</v>
      </c>
      <c r="K53" s="1">
        <v>81.8</v>
      </c>
      <c r="L53" t="s">
        <v>20</v>
      </c>
    </row>
    <row r="54" spans="1:12" x14ac:dyDescent="0.35">
      <c r="A54">
        <v>53</v>
      </c>
      <c r="B54" t="s">
        <v>12</v>
      </c>
      <c r="C54" s="1">
        <v>0.9</v>
      </c>
      <c r="D54">
        <v>89.9</v>
      </c>
      <c r="E54" s="1">
        <v>6.3</v>
      </c>
      <c r="F54" t="s">
        <v>23</v>
      </c>
      <c r="G54" s="2" t="s">
        <v>14</v>
      </c>
      <c r="H54" s="2" t="s">
        <v>15</v>
      </c>
      <c r="I54" t="s">
        <v>15</v>
      </c>
      <c r="J54">
        <v>66.8</v>
      </c>
      <c r="K54" s="1">
        <v>72.599999999999994</v>
      </c>
      <c r="L54" t="s">
        <v>22</v>
      </c>
    </row>
    <row r="55" spans="1:12" x14ac:dyDescent="0.35">
      <c r="A55">
        <v>54</v>
      </c>
      <c r="B55" t="s">
        <v>17</v>
      </c>
      <c r="C55" s="1">
        <v>3.4</v>
      </c>
      <c r="D55">
        <v>92.3</v>
      </c>
      <c r="E55" s="1">
        <v>4.9000000000000004</v>
      </c>
      <c r="F55" t="s">
        <v>23</v>
      </c>
      <c r="G55" s="2" t="s">
        <v>14</v>
      </c>
      <c r="H55" s="2" t="s">
        <v>15</v>
      </c>
      <c r="I55" t="s">
        <v>15</v>
      </c>
      <c r="J55">
        <v>51.5</v>
      </c>
      <c r="K55" s="1">
        <v>85.3</v>
      </c>
      <c r="L55" t="s">
        <v>20</v>
      </c>
    </row>
    <row r="56" spans="1:12" x14ac:dyDescent="0.35">
      <c r="A56">
        <v>55</v>
      </c>
      <c r="B56" t="s">
        <v>12</v>
      </c>
      <c r="C56" s="1">
        <v>4.0999999999999996</v>
      </c>
      <c r="D56">
        <v>91.6</v>
      </c>
      <c r="E56" s="1">
        <v>8.9</v>
      </c>
      <c r="F56" t="s">
        <v>13</v>
      </c>
      <c r="G56" s="2" t="s">
        <v>15</v>
      </c>
      <c r="H56" s="2" t="s">
        <v>14</v>
      </c>
      <c r="I56" t="s">
        <v>15</v>
      </c>
      <c r="J56">
        <v>89.1</v>
      </c>
      <c r="K56" s="1">
        <v>99.8</v>
      </c>
      <c r="L56" t="s">
        <v>16</v>
      </c>
    </row>
    <row r="57" spans="1:12" x14ac:dyDescent="0.35">
      <c r="A57">
        <v>56</v>
      </c>
      <c r="B57" t="s">
        <v>17</v>
      </c>
      <c r="C57" s="1">
        <v>3.5</v>
      </c>
      <c r="D57">
        <v>96.7</v>
      </c>
      <c r="E57" s="1">
        <v>8.5</v>
      </c>
      <c r="F57" t="s">
        <v>13</v>
      </c>
      <c r="G57" s="2" t="s">
        <v>14</v>
      </c>
      <c r="H57" s="2" t="s">
        <v>14</v>
      </c>
      <c r="I57" t="s">
        <v>14</v>
      </c>
      <c r="J57">
        <v>71.2</v>
      </c>
      <c r="K57" s="1">
        <v>84.3</v>
      </c>
      <c r="L57" t="s">
        <v>20</v>
      </c>
    </row>
    <row r="58" spans="1:12" x14ac:dyDescent="0.35">
      <c r="A58">
        <v>57</v>
      </c>
      <c r="B58" t="s">
        <v>17</v>
      </c>
      <c r="C58" s="1">
        <v>0.5</v>
      </c>
      <c r="D58">
        <v>86.8</v>
      </c>
      <c r="E58" s="1">
        <v>5.2</v>
      </c>
      <c r="F58" t="s">
        <v>23</v>
      </c>
      <c r="G58" s="2" t="s">
        <v>14</v>
      </c>
      <c r="H58" s="2" t="s">
        <v>14</v>
      </c>
      <c r="I58" t="s">
        <v>15</v>
      </c>
      <c r="J58">
        <v>87.2</v>
      </c>
      <c r="K58" s="1">
        <v>71.5</v>
      </c>
      <c r="L58" t="s">
        <v>22</v>
      </c>
    </row>
    <row r="59" spans="1:12" x14ac:dyDescent="0.35">
      <c r="A59">
        <v>58</v>
      </c>
      <c r="B59" t="s">
        <v>12</v>
      </c>
      <c r="C59" s="1">
        <v>3.4</v>
      </c>
      <c r="D59">
        <v>72</v>
      </c>
      <c r="E59" s="1">
        <v>7.6</v>
      </c>
      <c r="F59" t="s">
        <v>13</v>
      </c>
      <c r="G59" s="2" t="s">
        <v>14</v>
      </c>
      <c r="H59" s="2" t="s">
        <v>15</v>
      </c>
      <c r="I59" t="s">
        <v>15</v>
      </c>
      <c r="J59">
        <v>66.900000000000006</v>
      </c>
      <c r="K59" s="1">
        <v>84.3</v>
      </c>
      <c r="L59" t="s">
        <v>20</v>
      </c>
    </row>
    <row r="60" spans="1:12" x14ac:dyDescent="0.35">
      <c r="A60">
        <v>59</v>
      </c>
      <c r="B60" t="s">
        <v>12</v>
      </c>
      <c r="C60" s="1">
        <v>1.5</v>
      </c>
      <c r="D60">
        <v>89</v>
      </c>
      <c r="E60" s="1">
        <v>6.2</v>
      </c>
      <c r="F60" t="s">
        <v>23</v>
      </c>
      <c r="G60" s="2" t="s">
        <v>14</v>
      </c>
      <c r="H60" s="2" t="s">
        <v>15</v>
      </c>
      <c r="I60" t="s">
        <v>15</v>
      </c>
      <c r="J60">
        <v>59.4</v>
      </c>
      <c r="K60" s="1">
        <v>74.5</v>
      </c>
      <c r="L60" t="s">
        <v>22</v>
      </c>
    </row>
    <row r="61" spans="1:12" x14ac:dyDescent="0.35">
      <c r="A61">
        <v>60</v>
      </c>
      <c r="B61" t="s">
        <v>12</v>
      </c>
      <c r="C61" s="1">
        <v>4.5</v>
      </c>
      <c r="D61">
        <v>78.5</v>
      </c>
      <c r="E61" s="1">
        <v>7.1</v>
      </c>
      <c r="F61" t="s">
        <v>13</v>
      </c>
      <c r="G61" s="2" t="s">
        <v>14</v>
      </c>
      <c r="H61" s="2" t="s">
        <v>15</v>
      </c>
      <c r="I61" t="s">
        <v>15</v>
      </c>
      <c r="J61">
        <v>73.2</v>
      </c>
      <c r="K61" s="1">
        <v>89.5</v>
      </c>
      <c r="L61" t="s">
        <v>20</v>
      </c>
    </row>
    <row r="62" spans="1:12" x14ac:dyDescent="0.35">
      <c r="A62">
        <v>61</v>
      </c>
      <c r="B62" t="s">
        <v>12</v>
      </c>
      <c r="C62" s="1">
        <v>4</v>
      </c>
      <c r="D62">
        <v>79.7</v>
      </c>
      <c r="E62" s="1">
        <v>7.2</v>
      </c>
      <c r="F62" t="s">
        <v>23</v>
      </c>
      <c r="G62" s="2" t="s">
        <v>14</v>
      </c>
      <c r="H62" s="2" t="s">
        <v>14</v>
      </c>
      <c r="I62" t="s">
        <v>15</v>
      </c>
      <c r="J62">
        <v>67.400000000000006</v>
      </c>
      <c r="K62" s="1">
        <v>80.400000000000006</v>
      </c>
      <c r="L62" t="s">
        <v>20</v>
      </c>
    </row>
    <row r="63" spans="1:12" x14ac:dyDescent="0.35">
      <c r="A63">
        <v>62</v>
      </c>
      <c r="B63" t="s">
        <v>12</v>
      </c>
      <c r="C63" s="1">
        <v>2.1</v>
      </c>
      <c r="D63">
        <v>90.9</v>
      </c>
      <c r="E63" s="1">
        <v>6.5</v>
      </c>
      <c r="F63" t="s">
        <v>13</v>
      </c>
      <c r="G63" s="2" t="s">
        <v>15</v>
      </c>
      <c r="H63" s="2" t="s">
        <v>14</v>
      </c>
      <c r="I63" t="s">
        <v>14</v>
      </c>
      <c r="J63">
        <v>55.9</v>
      </c>
      <c r="K63" s="1">
        <v>71.099999999999994</v>
      </c>
      <c r="L63" t="s">
        <v>22</v>
      </c>
    </row>
    <row r="64" spans="1:12" x14ac:dyDescent="0.35">
      <c r="A64">
        <v>63</v>
      </c>
      <c r="B64" t="s">
        <v>12</v>
      </c>
      <c r="C64" s="1">
        <v>2.7</v>
      </c>
      <c r="D64">
        <v>97.4</v>
      </c>
      <c r="E64" s="1">
        <v>5.9</v>
      </c>
      <c r="F64" t="s">
        <v>13</v>
      </c>
      <c r="G64" s="2" t="s">
        <v>14</v>
      </c>
      <c r="H64" s="2" t="s">
        <v>14</v>
      </c>
      <c r="I64" t="s">
        <v>15</v>
      </c>
      <c r="J64">
        <v>87.6</v>
      </c>
      <c r="K64" s="1">
        <v>87.8</v>
      </c>
      <c r="L64" t="s">
        <v>20</v>
      </c>
    </row>
    <row r="65" spans="1:12" x14ac:dyDescent="0.35">
      <c r="A65">
        <v>64</v>
      </c>
      <c r="B65" t="s">
        <v>12</v>
      </c>
      <c r="C65" s="1">
        <v>1.9</v>
      </c>
      <c r="D65">
        <v>85.2</v>
      </c>
      <c r="E65" s="1">
        <v>6</v>
      </c>
      <c r="F65" t="s">
        <v>19</v>
      </c>
      <c r="G65" s="2" t="s">
        <v>14</v>
      </c>
      <c r="H65" s="2" t="s">
        <v>15</v>
      </c>
      <c r="I65" t="s">
        <v>15</v>
      </c>
      <c r="J65">
        <v>62.5</v>
      </c>
      <c r="K65" s="1">
        <v>73</v>
      </c>
      <c r="L65" t="s">
        <v>22</v>
      </c>
    </row>
    <row r="66" spans="1:12" x14ac:dyDescent="0.35">
      <c r="A66">
        <v>65</v>
      </c>
      <c r="B66" t="s">
        <v>12</v>
      </c>
      <c r="C66" s="1">
        <v>3.4</v>
      </c>
      <c r="D66">
        <v>88.1</v>
      </c>
      <c r="E66" s="1">
        <v>5.7</v>
      </c>
      <c r="F66" t="s">
        <v>13</v>
      </c>
      <c r="G66" s="2" t="s">
        <v>14</v>
      </c>
      <c r="H66" s="2" t="s">
        <v>15</v>
      </c>
      <c r="I66" t="s">
        <v>14</v>
      </c>
      <c r="J66">
        <v>47.9</v>
      </c>
      <c r="K66" s="1">
        <v>80.8</v>
      </c>
      <c r="L66" t="s">
        <v>20</v>
      </c>
    </row>
    <row r="67" spans="1:12" x14ac:dyDescent="0.35">
      <c r="A67">
        <v>66</v>
      </c>
      <c r="B67" t="s">
        <v>17</v>
      </c>
      <c r="C67" s="1">
        <v>4.9000000000000004</v>
      </c>
      <c r="D67">
        <v>100</v>
      </c>
      <c r="E67" s="1">
        <v>5.8</v>
      </c>
      <c r="F67" t="s">
        <v>13</v>
      </c>
      <c r="G67" s="2" t="s">
        <v>14</v>
      </c>
      <c r="H67" s="2" t="s">
        <v>15</v>
      </c>
      <c r="I67" t="s">
        <v>15</v>
      </c>
      <c r="J67">
        <v>85.9</v>
      </c>
      <c r="K67" s="1">
        <v>97.4</v>
      </c>
      <c r="L67" t="s">
        <v>16</v>
      </c>
    </row>
    <row r="68" spans="1:12" x14ac:dyDescent="0.35">
      <c r="A68">
        <v>67</v>
      </c>
      <c r="B68" t="s">
        <v>17</v>
      </c>
      <c r="C68" s="1">
        <v>2</v>
      </c>
      <c r="D68">
        <v>87.4</v>
      </c>
      <c r="E68" s="1">
        <v>6.7</v>
      </c>
      <c r="F68" t="s">
        <v>18</v>
      </c>
      <c r="G68" s="2" t="s">
        <v>14</v>
      </c>
      <c r="H68" s="2" t="s">
        <v>14</v>
      </c>
      <c r="I68" t="s">
        <v>15</v>
      </c>
      <c r="J68">
        <v>63.9</v>
      </c>
      <c r="K68" s="1">
        <v>67.8</v>
      </c>
      <c r="L68" t="s">
        <v>21</v>
      </c>
    </row>
    <row r="69" spans="1:12" x14ac:dyDescent="0.35">
      <c r="A69">
        <v>68</v>
      </c>
      <c r="B69" t="s">
        <v>12</v>
      </c>
      <c r="C69" s="1">
        <v>4.3</v>
      </c>
      <c r="D69">
        <v>100</v>
      </c>
      <c r="E69" s="1">
        <v>5.9</v>
      </c>
      <c r="F69" t="s">
        <v>13</v>
      </c>
      <c r="G69" s="2" t="s">
        <v>15</v>
      </c>
      <c r="H69" s="2" t="s">
        <v>14</v>
      </c>
      <c r="I69" t="s">
        <v>15</v>
      </c>
      <c r="J69">
        <v>62.7</v>
      </c>
      <c r="K69" s="1">
        <v>79.2</v>
      </c>
      <c r="L69" t="s">
        <v>22</v>
      </c>
    </row>
    <row r="70" spans="1:12" x14ac:dyDescent="0.35">
      <c r="A70">
        <v>69</v>
      </c>
      <c r="B70" t="s">
        <v>17</v>
      </c>
      <c r="C70" s="1">
        <v>2.7</v>
      </c>
      <c r="D70">
        <v>90.7</v>
      </c>
      <c r="E70" s="1">
        <v>7.6</v>
      </c>
      <c r="F70" t="s">
        <v>13</v>
      </c>
      <c r="G70" s="2" t="s">
        <v>15</v>
      </c>
      <c r="H70" s="2" t="s">
        <v>15</v>
      </c>
      <c r="I70" t="s">
        <v>14</v>
      </c>
      <c r="J70">
        <v>48.8</v>
      </c>
      <c r="K70" s="1">
        <v>73.5</v>
      </c>
      <c r="L70" t="s">
        <v>22</v>
      </c>
    </row>
    <row r="71" spans="1:12" x14ac:dyDescent="0.35">
      <c r="A71">
        <v>70</v>
      </c>
      <c r="B71" t="s">
        <v>17</v>
      </c>
      <c r="C71" s="1">
        <v>2.2999999999999998</v>
      </c>
      <c r="D71">
        <v>67.400000000000006</v>
      </c>
      <c r="E71" s="1">
        <v>8.6</v>
      </c>
      <c r="F71" t="s">
        <v>18</v>
      </c>
      <c r="G71" s="2" t="s">
        <v>14</v>
      </c>
      <c r="H71" s="2" t="s">
        <v>15</v>
      </c>
      <c r="I71" t="s">
        <v>15</v>
      </c>
      <c r="J71">
        <v>90.9</v>
      </c>
      <c r="K71" s="1">
        <v>85.1</v>
      </c>
      <c r="L71" t="s">
        <v>20</v>
      </c>
    </row>
    <row r="72" spans="1:12" x14ac:dyDescent="0.35">
      <c r="A72">
        <v>71</v>
      </c>
      <c r="B72" t="s">
        <v>17</v>
      </c>
      <c r="C72" s="1">
        <v>3.3</v>
      </c>
      <c r="D72">
        <v>92.5</v>
      </c>
      <c r="E72" s="1">
        <v>6.1</v>
      </c>
      <c r="F72" t="s">
        <v>18</v>
      </c>
      <c r="G72" s="2" t="s">
        <v>14</v>
      </c>
      <c r="H72" s="2" t="s">
        <v>14</v>
      </c>
      <c r="I72" t="s">
        <v>15</v>
      </c>
      <c r="J72">
        <v>54.5</v>
      </c>
      <c r="K72" s="1">
        <v>79.599999999999994</v>
      </c>
      <c r="L72" t="s">
        <v>22</v>
      </c>
    </row>
    <row r="73" spans="1:12" x14ac:dyDescent="0.35">
      <c r="A73">
        <v>72</v>
      </c>
      <c r="B73" t="s">
        <v>17</v>
      </c>
      <c r="C73" s="1">
        <v>1.9</v>
      </c>
      <c r="D73">
        <v>88.8</v>
      </c>
      <c r="E73" s="1">
        <v>7.1</v>
      </c>
      <c r="F73" t="s">
        <v>13</v>
      </c>
      <c r="G73" s="2" t="s">
        <v>14</v>
      </c>
      <c r="H73" s="2" t="s">
        <v>14</v>
      </c>
      <c r="I73" t="s">
        <v>15</v>
      </c>
      <c r="J73">
        <v>70.7</v>
      </c>
      <c r="K73" s="1">
        <v>77.400000000000006</v>
      </c>
      <c r="L73" t="s">
        <v>22</v>
      </c>
    </row>
    <row r="74" spans="1:12" x14ac:dyDescent="0.35">
      <c r="A74">
        <v>73</v>
      </c>
      <c r="B74" t="s">
        <v>12</v>
      </c>
      <c r="C74" s="1">
        <v>2.7</v>
      </c>
      <c r="D74">
        <v>97.9</v>
      </c>
      <c r="E74" s="1">
        <v>7.4</v>
      </c>
      <c r="F74" t="s">
        <v>23</v>
      </c>
      <c r="G74" s="2" t="s">
        <v>14</v>
      </c>
      <c r="H74" s="2" t="s">
        <v>14</v>
      </c>
      <c r="I74" t="s">
        <v>15</v>
      </c>
      <c r="J74">
        <v>81</v>
      </c>
      <c r="K74" s="1">
        <v>94.6</v>
      </c>
      <c r="L74" t="s">
        <v>16</v>
      </c>
    </row>
    <row r="75" spans="1:12" x14ac:dyDescent="0.35">
      <c r="A75">
        <v>74</v>
      </c>
      <c r="B75" t="s">
        <v>17</v>
      </c>
      <c r="C75" s="1">
        <v>1.7</v>
      </c>
      <c r="D75">
        <v>91.7</v>
      </c>
      <c r="E75" s="1">
        <v>7.4</v>
      </c>
      <c r="F75" t="s">
        <v>13</v>
      </c>
      <c r="G75" s="2" t="s">
        <v>14</v>
      </c>
      <c r="H75" s="2" t="s">
        <v>14</v>
      </c>
      <c r="I75" t="s">
        <v>15</v>
      </c>
      <c r="J75">
        <v>75.099999999999994</v>
      </c>
      <c r="K75" s="1">
        <v>77.599999999999994</v>
      </c>
      <c r="L75" t="s">
        <v>22</v>
      </c>
    </row>
    <row r="76" spans="1:12" x14ac:dyDescent="0.35">
      <c r="A76">
        <v>75</v>
      </c>
      <c r="B76" t="s">
        <v>12</v>
      </c>
      <c r="C76" s="1">
        <v>6.4</v>
      </c>
      <c r="D76">
        <v>83.6</v>
      </c>
      <c r="E76" s="1">
        <v>6.9</v>
      </c>
      <c r="F76" t="s">
        <v>18</v>
      </c>
      <c r="G76" s="2" t="s">
        <v>14</v>
      </c>
      <c r="H76" s="2" t="s">
        <v>14</v>
      </c>
      <c r="I76" t="s">
        <v>15</v>
      </c>
      <c r="J76">
        <v>69.3</v>
      </c>
      <c r="K76" s="1">
        <v>99.9</v>
      </c>
      <c r="L76" t="s">
        <v>16</v>
      </c>
    </row>
    <row r="77" spans="1:12" x14ac:dyDescent="0.35">
      <c r="A77">
        <v>76</v>
      </c>
      <c r="B77" t="s">
        <v>17</v>
      </c>
      <c r="C77" s="1">
        <v>3.6</v>
      </c>
      <c r="D77">
        <v>72.8</v>
      </c>
      <c r="E77" s="1">
        <v>7.7</v>
      </c>
      <c r="F77" t="s">
        <v>23</v>
      </c>
      <c r="G77" s="2" t="s">
        <v>15</v>
      </c>
      <c r="H77" s="2" t="s">
        <v>15</v>
      </c>
      <c r="I77" t="s">
        <v>15</v>
      </c>
      <c r="J77">
        <v>49.6</v>
      </c>
      <c r="K77" s="1">
        <v>64.400000000000006</v>
      </c>
      <c r="L77" t="s">
        <v>21</v>
      </c>
    </row>
    <row r="78" spans="1:12" x14ac:dyDescent="0.35">
      <c r="A78">
        <v>77</v>
      </c>
      <c r="B78" t="s">
        <v>17</v>
      </c>
      <c r="C78" s="1">
        <v>2.5</v>
      </c>
      <c r="D78">
        <v>82.9</v>
      </c>
      <c r="E78" s="1">
        <v>7.4</v>
      </c>
      <c r="F78" t="s">
        <v>18</v>
      </c>
      <c r="G78" s="2" t="s">
        <v>14</v>
      </c>
      <c r="H78" s="2" t="s">
        <v>14</v>
      </c>
      <c r="I78" t="s">
        <v>15</v>
      </c>
      <c r="J78">
        <v>60.3</v>
      </c>
      <c r="K78" s="1">
        <v>71.900000000000006</v>
      </c>
      <c r="L78" t="s">
        <v>22</v>
      </c>
    </row>
    <row r="79" spans="1:12" x14ac:dyDescent="0.35">
      <c r="A79">
        <v>78</v>
      </c>
      <c r="B79" t="s">
        <v>17</v>
      </c>
      <c r="C79" s="1">
        <v>3.8</v>
      </c>
      <c r="D79">
        <v>76.5</v>
      </c>
      <c r="E79" s="1">
        <v>5.3</v>
      </c>
      <c r="F79" t="s">
        <v>13</v>
      </c>
      <c r="G79" s="2" t="s">
        <v>14</v>
      </c>
      <c r="H79" s="2" t="s">
        <v>14</v>
      </c>
      <c r="I79" t="s">
        <v>15</v>
      </c>
      <c r="J79">
        <v>72.3</v>
      </c>
      <c r="K79" s="1">
        <v>79.3</v>
      </c>
      <c r="L79" t="s">
        <v>22</v>
      </c>
    </row>
    <row r="80" spans="1:12" x14ac:dyDescent="0.35">
      <c r="A80">
        <v>79</v>
      </c>
      <c r="B80" t="s">
        <v>12</v>
      </c>
      <c r="C80" s="1">
        <v>3.3</v>
      </c>
      <c r="D80">
        <v>79.2</v>
      </c>
      <c r="E80" s="1">
        <v>7.8</v>
      </c>
      <c r="F80" t="s">
        <v>18</v>
      </c>
      <c r="G80" s="2" t="s">
        <v>14</v>
      </c>
      <c r="H80" s="2" t="s">
        <v>14</v>
      </c>
      <c r="I80" t="s">
        <v>14</v>
      </c>
      <c r="J80">
        <v>60.6</v>
      </c>
      <c r="K80" s="1">
        <v>74.900000000000006</v>
      </c>
      <c r="L80" t="s">
        <v>22</v>
      </c>
    </row>
    <row r="81" spans="1:12" x14ac:dyDescent="0.35">
      <c r="A81">
        <v>80</v>
      </c>
      <c r="B81" t="s">
        <v>17</v>
      </c>
      <c r="C81" s="1">
        <v>3.2</v>
      </c>
      <c r="D81">
        <v>90.9</v>
      </c>
      <c r="E81" s="1">
        <v>7.9</v>
      </c>
      <c r="F81" t="s">
        <v>18</v>
      </c>
      <c r="G81" s="2" t="s">
        <v>14</v>
      </c>
      <c r="H81" s="2" t="s">
        <v>15</v>
      </c>
      <c r="I81" t="s">
        <v>15</v>
      </c>
      <c r="J81">
        <v>72.400000000000006</v>
      </c>
      <c r="K81" s="1">
        <v>87.4</v>
      </c>
      <c r="L81" t="s">
        <v>20</v>
      </c>
    </row>
    <row r="82" spans="1:12" x14ac:dyDescent="0.35">
      <c r="A82">
        <v>81</v>
      </c>
      <c r="B82" t="s">
        <v>12</v>
      </c>
      <c r="C82" s="1">
        <v>4.4000000000000004</v>
      </c>
      <c r="D82">
        <v>100</v>
      </c>
      <c r="E82" s="1">
        <v>5.9</v>
      </c>
      <c r="F82" t="s">
        <v>18</v>
      </c>
      <c r="G82" s="2" t="s">
        <v>14</v>
      </c>
      <c r="H82" s="2" t="s">
        <v>15</v>
      </c>
      <c r="I82" t="s">
        <v>15</v>
      </c>
      <c r="J82">
        <v>78.2</v>
      </c>
      <c r="K82" s="1">
        <v>97.6</v>
      </c>
      <c r="L82" t="s">
        <v>16</v>
      </c>
    </row>
    <row r="83" spans="1:12" x14ac:dyDescent="0.35">
      <c r="A83">
        <v>82</v>
      </c>
      <c r="B83" t="s">
        <v>17</v>
      </c>
      <c r="C83" s="1">
        <v>4.5999999999999996</v>
      </c>
      <c r="D83">
        <v>88.9</v>
      </c>
      <c r="E83" s="1">
        <v>6.8</v>
      </c>
      <c r="F83" t="s">
        <v>13</v>
      </c>
      <c r="G83" s="2" t="s">
        <v>14</v>
      </c>
      <c r="H83" s="2" t="s">
        <v>14</v>
      </c>
      <c r="I83" t="s">
        <v>15</v>
      </c>
      <c r="J83">
        <v>81.599999999999994</v>
      </c>
      <c r="K83" s="1">
        <v>74.5</v>
      </c>
      <c r="L83" t="s">
        <v>22</v>
      </c>
    </row>
    <row r="84" spans="1:12" x14ac:dyDescent="0.35">
      <c r="A84">
        <v>83</v>
      </c>
      <c r="B84" t="s">
        <v>12</v>
      </c>
      <c r="C84" s="1">
        <v>2.7</v>
      </c>
      <c r="D84">
        <v>73</v>
      </c>
      <c r="E84" s="1">
        <v>7.6</v>
      </c>
      <c r="F84" t="s">
        <v>18</v>
      </c>
      <c r="G84" s="2" t="s">
        <v>14</v>
      </c>
      <c r="H84" s="2" t="s">
        <v>15</v>
      </c>
      <c r="I84" t="s">
        <v>14</v>
      </c>
      <c r="J84">
        <v>55.3</v>
      </c>
      <c r="K84" s="1">
        <v>64.099999999999994</v>
      </c>
      <c r="L84" t="s">
        <v>21</v>
      </c>
    </row>
    <row r="85" spans="1:12" x14ac:dyDescent="0.35">
      <c r="A85">
        <v>84</v>
      </c>
      <c r="B85" t="s">
        <v>17</v>
      </c>
      <c r="C85" s="1">
        <v>2.6</v>
      </c>
      <c r="D85">
        <v>89.4</v>
      </c>
      <c r="E85" s="1">
        <v>6.5</v>
      </c>
      <c r="F85" t="s">
        <v>13</v>
      </c>
      <c r="G85" s="2" t="s">
        <v>14</v>
      </c>
      <c r="H85" s="2" t="s">
        <v>15</v>
      </c>
      <c r="I85" t="s">
        <v>15</v>
      </c>
      <c r="J85">
        <v>96.4</v>
      </c>
      <c r="K85" s="1">
        <v>90</v>
      </c>
      <c r="L85" t="s">
        <v>16</v>
      </c>
    </row>
    <row r="86" spans="1:12" x14ac:dyDescent="0.35">
      <c r="A86">
        <v>85</v>
      </c>
      <c r="B86" t="s">
        <v>12</v>
      </c>
      <c r="C86" s="1">
        <v>3.1</v>
      </c>
      <c r="D86">
        <v>97</v>
      </c>
      <c r="E86" s="1">
        <v>8.1</v>
      </c>
      <c r="F86" t="s">
        <v>13</v>
      </c>
      <c r="G86" s="2" t="s">
        <v>14</v>
      </c>
      <c r="H86" s="2" t="s">
        <v>14</v>
      </c>
      <c r="I86" t="s">
        <v>14</v>
      </c>
      <c r="J86">
        <v>79.2</v>
      </c>
      <c r="K86" s="1">
        <v>99.3</v>
      </c>
      <c r="L86" t="s">
        <v>16</v>
      </c>
    </row>
    <row r="87" spans="1:12" x14ac:dyDescent="0.35">
      <c r="A87">
        <v>86</v>
      </c>
      <c r="B87" t="s">
        <v>12</v>
      </c>
      <c r="C87" s="1">
        <v>0.5</v>
      </c>
      <c r="D87">
        <v>78.900000000000006</v>
      </c>
      <c r="E87" s="1">
        <v>9.6</v>
      </c>
      <c r="F87" t="s">
        <v>13</v>
      </c>
      <c r="G87" s="2" t="s">
        <v>14</v>
      </c>
      <c r="H87" s="2" t="s">
        <v>14</v>
      </c>
      <c r="I87" t="s">
        <v>14</v>
      </c>
      <c r="J87">
        <v>70</v>
      </c>
      <c r="K87" s="1">
        <v>63.9</v>
      </c>
      <c r="L87" t="s">
        <v>21</v>
      </c>
    </row>
    <row r="88" spans="1:12" x14ac:dyDescent="0.35">
      <c r="A88">
        <v>87</v>
      </c>
      <c r="B88" t="s">
        <v>17</v>
      </c>
      <c r="C88" s="1">
        <v>1.2</v>
      </c>
      <c r="D88">
        <v>83.7</v>
      </c>
      <c r="E88" s="1">
        <v>5.9</v>
      </c>
      <c r="F88" t="s">
        <v>13</v>
      </c>
      <c r="G88" s="2" t="s">
        <v>14</v>
      </c>
      <c r="H88" s="2" t="s">
        <v>15</v>
      </c>
      <c r="I88" t="s">
        <v>15</v>
      </c>
      <c r="J88">
        <v>83.1</v>
      </c>
      <c r="K88" s="1">
        <v>79</v>
      </c>
      <c r="L88" t="s">
        <v>22</v>
      </c>
    </row>
    <row r="89" spans="1:12" x14ac:dyDescent="0.35">
      <c r="A89">
        <v>88</v>
      </c>
      <c r="B89" t="s">
        <v>12</v>
      </c>
      <c r="C89" s="1">
        <v>5.6</v>
      </c>
      <c r="D89">
        <v>85.1</v>
      </c>
      <c r="E89" s="1">
        <v>5.0999999999999996</v>
      </c>
      <c r="F89" t="s">
        <v>23</v>
      </c>
      <c r="G89" s="2" t="s">
        <v>14</v>
      </c>
      <c r="H89" s="2" t="s">
        <v>15</v>
      </c>
      <c r="I89" t="s">
        <v>15</v>
      </c>
      <c r="J89">
        <v>98.4</v>
      </c>
      <c r="K89" s="1">
        <v>100</v>
      </c>
      <c r="L89" t="s">
        <v>16</v>
      </c>
    </row>
    <row r="90" spans="1:12" x14ac:dyDescent="0.35">
      <c r="A90">
        <v>89</v>
      </c>
      <c r="B90" t="s">
        <v>17</v>
      </c>
      <c r="C90" s="1">
        <v>6</v>
      </c>
      <c r="D90">
        <v>77.2</v>
      </c>
      <c r="E90" s="1">
        <v>7.2</v>
      </c>
      <c r="F90" t="s">
        <v>18</v>
      </c>
      <c r="G90" s="2" t="s">
        <v>14</v>
      </c>
      <c r="H90" s="2" t="s">
        <v>15</v>
      </c>
      <c r="I90" t="s">
        <v>15</v>
      </c>
      <c r="J90">
        <v>52.7</v>
      </c>
      <c r="K90" s="1">
        <v>78.900000000000006</v>
      </c>
      <c r="L90" t="s">
        <v>22</v>
      </c>
    </row>
    <row r="91" spans="1:12" x14ac:dyDescent="0.35">
      <c r="A91">
        <v>90</v>
      </c>
      <c r="B91" t="s">
        <v>17</v>
      </c>
      <c r="C91" s="1">
        <v>3.1</v>
      </c>
      <c r="D91">
        <v>91.5</v>
      </c>
      <c r="E91" s="1">
        <v>7.7</v>
      </c>
      <c r="F91" t="s">
        <v>13</v>
      </c>
      <c r="G91" s="2" t="s">
        <v>14</v>
      </c>
      <c r="H91" s="2" t="s">
        <v>15</v>
      </c>
      <c r="I91" t="s">
        <v>14</v>
      </c>
      <c r="J91">
        <v>67.3</v>
      </c>
      <c r="K91" s="1">
        <v>84.5</v>
      </c>
      <c r="L91" t="s">
        <v>20</v>
      </c>
    </row>
    <row r="92" spans="1:12" x14ac:dyDescent="0.35">
      <c r="A92">
        <v>91</v>
      </c>
      <c r="B92" t="s">
        <v>17</v>
      </c>
      <c r="C92" s="1">
        <v>4.4000000000000004</v>
      </c>
      <c r="D92">
        <v>83.8</v>
      </c>
      <c r="E92" s="1">
        <v>6.5</v>
      </c>
      <c r="F92" t="s">
        <v>18</v>
      </c>
      <c r="G92" s="2" t="s">
        <v>14</v>
      </c>
      <c r="H92" s="2" t="s">
        <v>15</v>
      </c>
      <c r="I92" t="s">
        <v>15</v>
      </c>
      <c r="J92">
        <v>41.5</v>
      </c>
      <c r="K92" s="1">
        <v>71.7</v>
      </c>
      <c r="L92" t="s">
        <v>22</v>
      </c>
    </row>
    <row r="93" spans="1:12" x14ac:dyDescent="0.35">
      <c r="A93">
        <v>92</v>
      </c>
      <c r="B93" t="s">
        <v>17</v>
      </c>
      <c r="C93" s="1">
        <v>4</v>
      </c>
      <c r="D93">
        <v>89.2</v>
      </c>
      <c r="E93" s="1">
        <v>8.5</v>
      </c>
      <c r="F93" t="s">
        <v>18</v>
      </c>
      <c r="G93" s="2" t="s">
        <v>14</v>
      </c>
      <c r="H93" s="2" t="s">
        <v>14</v>
      </c>
      <c r="I93" t="s">
        <v>14</v>
      </c>
      <c r="J93">
        <v>72.3</v>
      </c>
      <c r="K93" s="1">
        <v>86.3</v>
      </c>
      <c r="L93" t="s">
        <v>20</v>
      </c>
    </row>
    <row r="94" spans="1:12" x14ac:dyDescent="0.35">
      <c r="A94">
        <v>93</v>
      </c>
      <c r="B94" t="s">
        <v>17</v>
      </c>
      <c r="C94" s="1">
        <v>8.1</v>
      </c>
      <c r="D94">
        <v>76.099999999999994</v>
      </c>
      <c r="E94" s="1">
        <v>5.2</v>
      </c>
      <c r="F94" t="s">
        <v>13</v>
      </c>
      <c r="G94" s="2" t="s">
        <v>14</v>
      </c>
      <c r="H94" s="2" t="s">
        <v>14</v>
      </c>
      <c r="I94" t="s">
        <v>15</v>
      </c>
      <c r="J94">
        <v>74.400000000000006</v>
      </c>
      <c r="K94" s="1">
        <v>98.3</v>
      </c>
      <c r="L94" t="s">
        <v>16</v>
      </c>
    </row>
    <row r="95" spans="1:12" x14ac:dyDescent="0.35">
      <c r="A95">
        <v>94</v>
      </c>
      <c r="B95" t="s">
        <v>17</v>
      </c>
      <c r="C95" s="1">
        <v>5.2</v>
      </c>
      <c r="D95">
        <v>80.599999999999994</v>
      </c>
      <c r="E95" s="1">
        <v>7.6</v>
      </c>
      <c r="F95" t="s">
        <v>13</v>
      </c>
      <c r="G95" s="2" t="s">
        <v>14</v>
      </c>
      <c r="H95" s="2" t="s">
        <v>14</v>
      </c>
      <c r="I95" t="s">
        <v>15</v>
      </c>
      <c r="J95">
        <v>69.5</v>
      </c>
      <c r="K95" s="1">
        <v>88.1</v>
      </c>
      <c r="L95" t="s">
        <v>20</v>
      </c>
    </row>
    <row r="96" spans="1:12" x14ac:dyDescent="0.35">
      <c r="A96">
        <v>95</v>
      </c>
      <c r="B96" t="s">
        <v>17</v>
      </c>
      <c r="C96" s="1">
        <v>3.3</v>
      </c>
      <c r="D96">
        <v>92.2</v>
      </c>
      <c r="E96" s="1">
        <v>6.1</v>
      </c>
      <c r="F96" t="s">
        <v>24</v>
      </c>
      <c r="G96" s="2" t="s">
        <v>14</v>
      </c>
      <c r="H96" s="2" t="s">
        <v>14</v>
      </c>
      <c r="I96" t="s">
        <v>15</v>
      </c>
      <c r="J96">
        <v>62.1</v>
      </c>
      <c r="K96" s="1">
        <v>99.6</v>
      </c>
      <c r="L96" t="s">
        <v>16</v>
      </c>
    </row>
    <row r="97" spans="1:12" x14ac:dyDescent="0.35">
      <c r="A97">
        <v>96</v>
      </c>
      <c r="B97" t="s">
        <v>17</v>
      </c>
      <c r="C97" s="1">
        <v>2.1</v>
      </c>
      <c r="D97">
        <v>81.3</v>
      </c>
      <c r="E97" s="1">
        <v>8.9</v>
      </c>
      <c r="F97" t="s">
        <v>13</v>
      </c>
      <c r="G97" s="2" t="s">
        <v>14</v>
      </c>
      <c r="H97" s="2" t="s">
        <v>15</v>
      </c>
      <c r="I97" t="s">
        <v>15</v>
      </c>
      <c r="J97">
        <v>45.4</v>
      </c>
      <c r="K97" s="1">
        <v>74.8</v>
      </c>
      <c r="L97" t="s">
        <v>22</v>
      </c>
    </row>
    <row r="98" spans="1:12" x14ac:dyDescent="0.35">
      <c r="A98">
        <v>97</v>
      </c>
      <c r="B98" t="s">
        <v>17</v>
      </c>
      <c r="C98" s="1">
        <v>1.1000000000000001</v>
      </c>
      <c r="D98">
        <v>100</v>
      </c>
      <c r="E98" s="1">
        <v>9.1999999999999993</v>
      </c>
      <c r="F98" t="s">
        <v>19</v>
      </c>
      <c r="G98" s="2" t="s">
        <v>14</v>
      </c>
      <c r="H98" s="2" t="s">
        <v>15</v>
      </c>
      <c r="I98" t="s">
        <v>14</v>
      </c>
      <c r="J98">
        <v>74.5</v>
      </c>
      <c r="K98" s="1">
        <v>87.4</v>
      </c>
      <c r="L98" t="s">
        <v>20</v>
      </c>
    </row>
    <row r="99" spans="1:12" x14ac:dyDescent="0.35">
      <c r="A99">
        <v>98</v>
      </c>
      <c r="B99" t="s">
        <v>17</v>
      </c>
      <c r="C99" s="1">
        <v>3.8</v>
      </c>
      <c r="D99">
        <v>81</v>
      </c>
      <c r="E99" s="1">
        <v>5.9</v>
      </c>
      <c r="F99" t="s">
        <v>18</v>
      </c>
      <c r="G99" s="2" t="s">
        <v>15</v>
      </c>
      <c r="H99" s="2" t="s">
        <v>15</v>
      </c>
      <c r="I99" t="s">
        <v>15</v>
      </c>
      <c r="J99">
        <v>87.5</v>
      </c>
      <c r="K99" s="1">
        <v>88.5</v>
      </c>
      <c r="L99" t="s">
        <v>20</v>
      </c>
    </row>
    <row r="100" spans="1:12" x14ac:dyDescent="0.35">
      <c r="A100">
        <v>99</v>
      </c>
      <c r="B100" t="s">
        <v>17</v>
      </c>
      <c r="C100" s="1">
        <v>2.4</v>
      </c>
      <c r="D100">
        <v>87.2</v>
      </c>
      <c r="E100" s="1">
        <v>6.1</v>
      </c>
      <c r="F100" t="s">
        <v>18</v>
      </c>
      <c r="G100" s="2" t="s">
        <v>14</v>
      </c>
      <c r="H100" s="2" t="s">
        <v>14</v>
      </c>
      <c r="I100" t="s">
        <v>14</v>
      </c>
      <c r="J100">
        <v>62.9</v>
      </c>
      <c r="K100" s="1">
        <v>65.2</v>
      </c>
      <c r="L100" t="s">
        <v>21</v>
      </c>
    </row>
    <row r="101" spans="1:12" x14ac:dyDescent="0.35">
      <c r="A101">
        <v>100</v>
      </c>
      <c r="B101" t="s">
        <v>12</v>
      </c>
      <c r="C101" s="1">
        <v>1.4</v>
      </c>
      <c r="D101">
        <v>94.3</v>
      </c>
      <c r="E101" s="1">
        <v>7.8</v>
      </c>
      <c r="F101" t="s">
        <v>18</v>
      </c>
      <c r="G101" s="2" t="s">
        <v>15</v>
      </c>
      <c r="H101" s="2" t="s">
        <v>15</v>
      </c>
      <c r="I101" t="s">
        <v>15</v>
      </c>
      <c r="J101">
        <v>75.3</v>
      </c>
      <c r="K101" s="1">
        <v>79.2</v>
      </c>
      <c r="L101" t="s">
        <v>22</v>
      </c>
    </row>
    <row r="102" spans="1:12" x14ac:dyDescent="0.35">
      <c r="A102">
        <v>101</v>
      </c>
      <c r="B102" t="s">
        <v>12</v>
      </c>
      <c r="C102" s="1">
        <v>2.5</v>
      </c>
      <c r="D102">
        <v>70.8</v>
      </c>
      <c r="E102" s="1">
        <v>6.3</v>
      </c>
      <c r="F102" t="s">
        <v>18</v>
      </c>
      <c r="G102" s="2" t="s">
        <v>14</v>
      </c>
      <c r="H102" s="2" t="s">
        <v>14</v>
      </c>
      <c r="I102" t="s">
        <v>15</v>
      </c>
      <c r="J102">
        <v>51.2</v>
      </c>
      <c r="K102" s="1">
        <v>74.5</v>
      </c>
      <c r="L102" t="s">
        <v>22</v>
      </c>
    </row>
    <row r="103" spans="1:12" x14ac:dyDescent="0.35">
      <c r="A103">
        <v>102</v>
      </c>
      <c r="B103" t="s">
        <v>17</v>
      </c>
      <c r="C103" s="1">
        <v>1.9</v>
      </c>
      <c r="D103">
        <v>67.400000000000006</v>
      </c>
      <c r="E103" s="1">
        <v>6.7</v>
      </c>
      <c r="F103" t="s">
        <v>13</v>
      </c>
      <c r="G103" s="2" t="s">
        <v>14</v>
      </c>
      <c r="H103" s="2" t="s">
        <v>14</v>
      </c>
      <c r="I103" t="s">
        <v>14</v>
      </c>
      <c r="J103">
        <v>75.5</v>
      </c>
      <c r="K103" s="1">
        <v>66.3</v>
      </c>
      <c r="L103" t="s">
        <v>21</v>
      </c>
    </row>
    <row r="104" spans="1:12" x14ac:dyDescent="0.35">
      <c r="A104">
        <v>103</v>
      </c>
      <c r="B104" t="s">
        <v>17</v>
      </c>
      <c r="C104" s="1">
        <v>6</v>
      </c>
      <c r="D104">
        <v>69.7</v>
      </c>
      <c r="E104" s="1">
        <v>6.8</v>
      </c>
      <c r="F104" t="s">
        <v>13</v>
      </c>
      <c r="G104" s="2" t="s">
        <v>15</v>
      </c>
      <c r="H104" s="2" t="s">
        <v>15</v>
      </c>
      <c r="I104" t="s">
        <v>15</v>
      </c>
      <c r="J104">
        <v>65.3</v>
      </c>
      <c r="K104" s="1">
        <v>89.5</v>
      </c>
      <c r="L104" t="s">
        <v>20</v>
      </c>
    </row>
    <row r="105" spans="1:12" x14ac:dyDescent="0.35">
      <c r="A105">
        <v>104</v>
      </c>
      <c r="B105" t="s">
        <v>17</v>
      </c>
      <c r="C105" s="1">
        <v>4.8</v>
      </c>
      <c r="D105">
        <v>97.6</v>
      </c>
      <c r="E105" s="1">
        <v>4.5</v>
      </c>
      <c r="F105" t="s">
        <v>18</v>
      </c>
      <c r="G105" s="2" t="s">
        <v>14</v>
      </c>
      <c r="H105" s="2" t="s">
        <v>15</v>
      </c>
      <c r="I105" t="s">
        <v>15</v>
      </c>
      <c r="J105">
        <v>60.9</v>
      </c>
      <c r="K105" s="1">
        <v>92.7</v>
      </c>
      <c r="L105" t="s">
        <v>16</v>
      </c>
    </row>
    <row r="106" spans="1:12" x14ac:dyDescent="0.35">
      <c r="A106">
        <v>105</v>
      </c>
      <c r="B106" t="s">
        <v>17</v>
      </c>
      <c r="C106" s="1">
        <v>3.5</v>
      </c>
      <c r="D106">
        <v>79.5</v>
      </c>
      <c r="E106" s="1">
        <v>6.8</v>
      </c>
      <c r="F106" t="s">
        <v>19</v>
      </c>
      <c r="G106" s="2" t="s">
        <v>14</v>
      </c>
      <c r="H106" s="2" t="s">
        <v>15</v>
      </c>
      <c r="I106" t="s">
        <v>14</v>
      </c>
      <c r="J106">
        <v>60.9</v>
      </c>
      <c r="K106" s="1">
        <v>87.2</v>
      </c>
      <c r="L106" t="s">
        <v>20</v>
      </c>
    </row>
    <row r="107" spans="1:12" x14ac:dyDescent="0.35">
      <c r="A107">
        <v>106</v>
      </c>
      <c r="B107" t="s">
        <v>17</v>
      </c>
      <c r="C107" s="1">
        <v>5.7</v>
      </c>
      <c r="D107">
        <v>100</v>
      </c>
      <c r="E107" s="1">
        <v>6</v>
      </c>
      <c r="F107" t="s">
        <v>23</v>
      </c>
      <c r="G107" s="2" t="s">
        <v>14</v>
      </c>
      <c r="H107" s="2" t="s">
        <v>14</v>
      </c>
      <c r="I107" t="s">
        <v>14</v>
      </c>
      <c r="J107">
        <v>65.3</v>
      </c>
      <c r="K107" s="1">
        <v>92.5</v>
      </c>
      <c r="L107" t="s">
        <v>16</v>
      </c>
    </row>
    <row r="108" spans="1:12" x14ac:dyDescent="0.35">
      <c r="A108">
        <v>107</v>
      </c>
      <c r="B108" t="s">
        <v>17</v>
      </c>
      <c r="C108" s="1">
        <v>3.6</v>
      </c>
      <c r="D108">
        <v>79.400000000000006</v>
      </c>
      <c r="E108" s="1">
        <v>6.2</v>
      </c>
      <c r="F108" t="s">
        <v>18</v>
      </c>
      <c r="G108" s="2" t="s">
        <v>14</v>
      </c>
      <c r="H108" s="2" t="s">
        <v>14</v>
      </c>
      <c r="I108" t="s">
        <v>14</v>
      </c>
      <c r="J108">
        <v>74.599999999999994</v>
      </c>
      <c r="K108" s="1">
        <v>75.7</v>
      </c>
      <c r="L108" t="s">
        <v>22</v>
      </c>
    </row>
    <row r="109" spans="1:12" x14ac:dyDescent="0.35">
      <c r="A109">
        <v>108</v>
      </c>
      <c r="B109" t="s">
        <v>17</v>
      </c>
      <c r="C109" s="1">
        <v>2.2000000000000002</v>
      </c>
      <c r="D109">
        <v>86.8</v>
      </c>
      <c r="E109" s="1">
        <v>8.5</v>
      </c>
      <c r="F109" t="s">
        <v>18</v>
      </c>
      <c r="G109" s="2" t="s">
        <v>14</v>
      </c>
      <c r="H109" s="2" t="s">
        <v>14</v>
      </c>
      <c r="I109" t="s">
        <v>15</v>
      </c>
      <c r="J109">
        <v>54.3</v>
      </c>
      <c r="K109" s="1">
        <v>74</v>
      </c>
      <c r="L109" t="s">
        <v>22</v>
      </c>
    </row>
    <row r="110" spans="1:12" x14ac:dyDescent="0.35">
      <c r="A110">
        <v>109</v>
      </c>
      <c r="B110" t="s">
        <v>17</v>
      </c>
      <c r="C110" s="1">
        <v>5.8</v>
      </c>
      <c r="D110">
        <v>100</v>
      </c>
      <c r="E110" s="1">
        <v>5.3</v>
      </c>
      <c r="F110" t="s">
        <v>18</v>
      </c>
      <c r="G110" s="2" t="s">
        <v>14</v>
      </c>
      <c r="H110" s="2" t="s">
        <v>14</v>
      </c>
      <c r="I110" t="s">
        <v>15</v>
      </c>
      <c r="J110">
        <v>65.2</v>
      </c>
      <c r="K110" s="1">
        <v>100</v>
      </c>
      <c r="L110" t="s">
        <v>16</v>
      </c>
    </row>
    <row r="111" spans="1:12" x14ac:dyDescent="0.35">
      <c r="A111">
        <v>110</v>
      </c>
      <c r="B111" t="s">
        <v>12</v>
      </c>
      <c r="C111" s="1">
        <v>4.3</v>
      </c>
      <c r="D111">
        <v>100</v>
      </c>
      <c r="E111" s="1">
        <v>7.8</v>
      </c>
      <c r="F111" t="s">
        <v>18</v>
      </c>
      <c r="G111" s="2" t="s">
        <v>15</v>
      </c>
      <c r="H111" s="2" t="s">
        <v>15</v>
      </c>
      <c r="I111" t="s">
        <v>14</v>
      </c>
      <c r="J111">
        <v>69.5</v>
      </c>
      <c r="K111" s="1">
        <v>75.5</v>
      </c>
      <c r="L111" t="s">
        <v>22</v>
      </c>
    </row>
    <row r="112" spans="1:12" x14ac:dyDescent="0.35">
      <c r="A112">
        <v>111</v>
      </c>
      <c r="B112" t="s">
        <v>17</v>
      </c>
      <c r="C112" s="1">
        <v>1.9</v>
      </c>
      <c r="D112">
        <v>100</v>
      </c>
      <c r="E112" s="1">
        <v>6.5</v>
      </c>
      <c r="F112" t="s">
        <v>18</v>
      </c>
      <c r="G112" s="2" t="s">
        <v>14</v>
      </c>
      <c r="H112" s="2" t="s">
        <v>15</v>
      </c>
      <c r="I112" t="s">
        <v>14</v>
      </c>
      <c r="J112">
        <v>56.8</v>
      </c>
      <c r="K112" s="1">
        <v>61.7</v>
      </c>
      <c r="L112" t="s">
        <v>21</v>
      </c>
    </row>
    <row r="113" spans="1:12" x14ac:dyDescent="0.35">
      <c r="A113">
        <v>112</v>
      </c>
      <c r="B113" t="s">
        <v>12</v>
      </c>
      <c r="C113" s="1">
        <v>3.2</v>
      </c>
      <c r="D113">
        <v>97.1</v>
      </c>
      <c r="E113" s="1">
        <v>6.5</v>
      </c>
      <c r="F113" t="s">
        <v>13</v>
      </c>
      <c r="G113" s="2" t="s">
        <v>15</v>
      </c>
      <c r="H113" s="2" t="s">
        <v>15</v>
      </c>
      <c r="I113" t="s">
        <v>15</v>
      </c>
      <c r="J113">
        <v>91.6</v>
      </c>
      <c r="K113" s="1">
        <v>91.4</v>
      </c>
      <c r="L113" t="s">
        <v>16</v>
      </c>
    </row>
    <row r="114" spans="1:12" x14ac:dyDescent="0.35">
      <c r="A114">
        <v>113</v>
      </c>
      <c r="B114" t="s">
        <v>17</v>
      </c>
      <c r="C114" s="1">
        <v>2.2000000000000002</v>
      </c>
      <c r="D114">
        <v>95.2</v>
      </c>
      <c r="E114" s="1">
        <v>7.7</v>
      </c>
      <c r="F114" t="s">
        <v>18</v>
      </c>
      <c r="G114" s="2" t="s">
        <v>15</v>
      </c>
      <c r="H114" s="2" t="s">
        <v>14</v>
      </c>
      <c r="I114" t="s">
        <v>15</v>
      </c>
      <c r="J114">
        <v>59.8</v>
      </c>
      <c r="K114" s="1">
        <v>72.7</v>
      </c>
      <c r="L114" t="s">
        <v>22</v>
      </c>
    </row>
    <row r="115" spans="1:12" x14ac:dyDescent="0.35">
      <c r="A115">
        <v>114</v>
      </c>
      <c r="B115" t="s">
        <v>17</v>
      </c>
      <c r="C115" s="1">
        <v>1.4</v>
      </c>
      <c r="D115">
        <v>90.9</v>
      </c>
      <c r="E115" s="1">
        <v>7.2</v>
      </c>
      <c r="F115" t="s">
        <v>13</v>
      </c>
      <c r="G115" s="2" t="s">
        <v>14</v>
      </c>
      <c r="H115" s="2" t="s">
        <v>15</v>
      </c>
      <c r="I115" t="s">
        <v>15</v>
      </c>
      <c r="J115">
        <v>62</v>
      </c>
      <c r="K115" s="1">
        <v>74.599999999999994</v>
      </c>
      <c r="L115" t="s">
        <v>22</v>
      </c>
    </row>
    <row r="116" spans="1:12" x14ac:dyDescent="0.35">
      <c r="A116">
        <v>115</v>
      </c>
      <c r="B116" t="s">
        <v>12</v>
      </c>
      <c r="C116" s="1">
        <v>4.9000000000000004</v>
      </c>
      <c r="D116">
        <v>92.8</v>
      </c>
      <c r="E116" s="1">
        <v>7.5</v>
      </c>
      <c r="F116" t="s">
        <v>19</v>
      </c>
      <c r="G116" s="2" t="s">
        <v>14</v>
      </c>
      <c r="H116" s="2" t="s">
        <v>14</v>
      </c>
      <c r="I116" t="s">
        <v>15</v>
      </c>
      <c r="J116">
        <v>58.3</v>
      </c>
      <c r="K116" s="1">
        <v>96.5</v>
      </c>
      <c r="L116" t="s">
        <v>16</v>
      </c>
    </row>
    <row r="117" spans="1:12" x14ac:dyDescent="0.35">
      <c r="A117">
        <v>116</v>
      </c>
      <c r="B117" t="s">
        <v>17</v>
      </c>
      <c r="C117" s="1">
        <v>6.4</v>
      </c>
      <c r="D117">
        <v>79.5</v>
      </c>
      <c r="E117" s="1">
        <v>8</v>
      </c>
      <c r="F117" t="s">
        <v>23</v>
      </c>
      <c r="G117" s="2" t="s">
        <v>15</v>
      </c>
      <c r="H117" s="2" t="s">
        <v>15</v>
      </c>
      <c r="I117" t="s">
        <v>14</v>
      </c>
      <c r="J117">
        <v>91.6</v>
      </c>
      <c r="K117" s="1">
        <v>94.5</v>
      </c>
      <c r="L117" t="s">
        <v>16</v>
      </c>
    </row>
    <row r="118" spans="1:12" x14ac:dyDescent="0.35">
      <c r="A118">
        <v>117</v>
      </c>
      <c r="B118" t="s">
        <v>12</v>
      </c>
      <c r="C118" s="1">
        <v>1.4</v>
      </c>
      <c r="D118">
        <v>76.8</v>
      </c>
      <c r="E118" s="1">
        <v>6.4</v>
      </c>
      <c r="F118" t="s">
        <v>19</v>
      </c>
      <c r="G118" s="2" t="s">
        <v>15</v>
      </c>
      <c r="H118" s="2" t="s">
        <v>14</v>
      </c>
      <c r="I118" t="s">
        <v>15</v>
      </c>
      <c r="J118">
        <v>76.599999999999994</v>
      </c>
      <c r="K118" s="1">
        <v>59.3</v>
      </c>
      <c r="L118" t="s">
        <v>25</v>
      </c>
    </row>
    <row r="119" spans="1:12" x14ac:dyDescent="0.35">
      <c r="A119">
        <v>118</v>
      </c>
      <c r="B119" t="s">
        <v>17</v>
      </c>
      <c r="C119" s="1">
        <v>4.3</v>
      </c>
      <c r="D119">
        <v>85</v>
      </c>
      <c r="E119" s="1">
        <v>6.1</v>
      </c>
      <c r="F119" t="s">
        <v>18</v>
      </c>
      <c r="G119" s="2" t="s">
        <v>14</v>
      </c>
      <c r="H119" s="2" t="s">
        <v>14</v>
      </c>
      <c r="I119" t="s">
        <v>15</v>
      </c>
      <c r="J119">
        <v>58.8</v>
      </c>
      <c r="K119" s="1">
        <v>96.2</v>
      </c>
      <c r="L119" t="s">
        <v>16</v>
      </c>
    </row>
    <row r="120" spans="1:12" x14ac:dyDescent="0.35">
      <c r="A120">
        <v>119</v>
      </c>
      <c r="B120" t="s">
        <v>17</v>
      </c>
      <c r="C120" s="1">
        <v>2.5</v>
      </c>
      <c r="D120">
        <v>83.3</v>
      </c>
      <c r="E120" s="1">
        <v>5.5</v>
      </c>
      <c r="F120" t="s">
        <v>13</v>
      </c>
      <c r="G120" s="2" t="s">
        <v>14</v>
      </c>
      <c r="H120" s="2" t="s">
        <v>14</v>
      </c>
      <c r="I120" t="s">
        <v>14</v>
      </c>
      <c r="J120">
        <v>83.3</v>
      </c>
      <c r="K120" s="1">
        <v>75.3</v>
      </c>
      <c r="L120" t="s">
        <v>22</v>
      </c>
    </row>
    <row r="121" spans="1:12" x14ac:dyDescent="0.35">
      <c r="A121">
        <v>120</v>
      </c>
      <c r="B121" t="s">
        <v>12</v>
      </c>
      <c r="C121" s="1">
        <v>2.8</v>
      </c>
      <c r="D121">
        <v>80.5</v>
      </c>
      <c r="E121" s="1">
        <v>5.8</v>
      </c>
      <c r="F121" t="s">
        <v>13</v>
      </c>
      <c r="G121" s="2" t="s">
        <v>14</v>
      </c>
      <c r="H121" s="2" t="s">
        <v>15</v>
      </c>
      <c r="I121" t="s">
        <v>15</v>
      </c>
      <c r="J121">
        <v>72.400000000000006</v>
      </c>
      <c r="K121" s="1">
        <v>73.3</v>
      </c>
      <c r="L121" t="s">
        <v>22</v>
      </c>
    </row>
    <row r="122" spans="1:12" x14ac:dyDescent="0.35">
      <c r="A122">
        <v>121</v>
      </c>
      <c r="B122" t="s">
        <v>17</v>
      </c>
      <c r="C122" s="1">
        <v>2.6</v>
      </c>
      <c r="D122">
        <v>92</v>
      </c>
      <c r="E122" s="1">
        <v>10</v>
      </c>
      <c r="F122" t="s">
        <v>18</v>
      </c>
      <c r="G122" s="2" t="s">
        <v>14</v>
      </c>
      <c r="H122" s="2" t="s">
        <v>14</v>
      </c>
      <c r="I122" t="s">
        <v>15</v>
      </c>
      <c r="J122">
        <v>73.099999999999994</v>
      </c>
      <c r="K122" s="1">
        <v>95.8</v>
      </c>
      <c r="L122" t="s">
        <v>16</v>
      </c>
    </row>
    <row r="123" spans="1:12" x14ac:dyDescent="0.35">
      <c r="A123">
        <v>122</v>
      </c>
      <c r="B123" t="s">
        <v>12</v>
      </c>
      <c r="C123" s="1">
        <v>2.2000000000000002</v>
      </c>
      <c r="D123">
        <v>94.6</v>
      </c>
      <c r="E123" s="1">
        <v>8.3000000000000007</v>
      </c>
      <c r="F123" t="s">
        <v>18</v>
      </c>
      <c r="G123" s="2" t="s">
        <v>14</v>
      </c>
      <c r="H123" s="2" t="s">
        <v>14</v>
      </c>
      <c r="I123" t="s">
        <v>15</v>
      </c>
      <c r="J123">
        <v>65.900000000000006</v>
      </c>
      <c r="K123" s="1">
        <v>81</v>
      </c>
      <c r="L123" t="s">
        <v>20</v>
      </c>
    </row>
    <row r="124" spans="1:12" x14ac:dyDescent="0.35">
      <c r="A124">
        <v>123</v>
      </c>
      <c r="B124" t="s">
        <v>17</v>
      </c>
      <c r="C124" s="1">
        <v>3.6</v>
      </c>
      <c r="D124">
        <v>85.9</v>
      </c>
      <c r="E124" s="1">
        <v>5.2</v>
      </c>
      <c r="F124" t="s">
        <v>23</v>
      </c>
      <c r="G124" s="2" t="s">
        <v>14</v>
      </c>
      <c r="H124" s="2" t="s">
        <v>15</v>
      </c>
      <c r="I124" t="s">
        <v>14</v>
      </c>
      <c r="J124">
        <v>61</v>
      </c>
      <c r="K124" s="1">
        <v>76.5</v>
      </c>
      <c r="L124" t="s">
        <v>22</v>
      </c>
    </row>
    <row r="125" spans="1:12" x14ac:dyDescent="0.35">
      <c r="A125">
        <v>124</v>
      </c>
      <c r="B125" t="s">
        <v>12</v>
      </c>
      <c r="C125" s="1">
        <v>2.2999999999999998</v>
      </c>
      <c r="D125">
        <v>99.8</v>
      </c>
      <c r="E125" s="1">
        <v>5.2</v>
      </c>
      <c r="F125" t="s">
        <v>13</v>
      </c>
      <c r="G125" s="2" t="s">
        <v>14</v>
      </c>
      <c r="H125" s="2" t="s">
        <v>14</v>
      </c>
      <c r="I125" t="s">
        <v>15</v>
      </c>
      <c r="J125">
        <v>74.099999999999994</v>
      </c>
      <c r="K125" s="1">
        <v>88.1</v>
      </c>
      <c r="L125" t="s">
        <v>20</v>
      </c>
    </row>
    <row r="126" spans="1:12" x14ac:dyDescent="0.35">
      <c r="A126">
        <v>125</v>
      </c>
      <c r="B126" t="s">
        <v>12</v>
      </c>
      <c r="C126" s="1">
        <v>3.9</v>
      </c>
      <c r="D126">
        <v>73.599999999999994</v>
      </c>
      <c r="E126" s="1">
        <v>7.4</v>
      </c>
      <c r="F126" t="s">
        <v>13</v>
      </c>
      <c r="G126" s="2" t="s">
        <v>14</v>
      </c>
      <c r="H126" s="2" t="s">
        <v>14</v>
      </c>
      <c r="I126" t="s">
        <v>15</v>
      </c>
      <c r="J126">
        <v>63.5</v>
      </c>
      <c r="K126" s="1">
        <v>88.1</v>
      </c>
      <c r="L126" t="s">
        <v>20</v>
      </c>
    </row>
    <row r="127" spans="1:12" x14ac:dyDescent="0.35">
      <c r="A127">
        <v>126</v>
      </c>
      <c r="B127" t="s">
        <v>17</v>
      </c>
      <c r="C127" s="1">
        <v>3.4</v>
      </c>
      <c r="D127">
        <v>83.1</v>
      </c>
      <c r="E127" s="1">
        <v>7.5</v>
      </c>
      <c r="F127" t="s">
        <v>13</v>
      </c>
      <c r="G127" s="2" t="s">
        <v>14</v>
      </c>
      <c r="H127" s="2" t="s">
        <v>14</v>
      </c>
      <c r="I127" t="s">
        <v>15</v>
      </c>
      <c r="J127">
        <v>91.8</v>
      </c>
      <c r="K127" s="1">
        <v>92.1</v>
      </c>
      <c r="L127" t="s">
        <v>16</v>
      </c>
    </row>
    <row r="128" spans="1:12" x14ac:dyDescent="0.35">
      <c r="A128">
        <v>127</v>
      </c>
      <c r="B128" t="s">
        <v>17</v>
      </c>
      <c r="C128" s="1">
        <v>3.1</v>
      </c>
      <c r="D128">
        <v>77.8</v>
      </c>
      <c r="E128" s="1">
        <v>7.5</v>
      </c>
      <c r="F128" t="s">
        <v>13</v>
      </c>
      <c r="G128" s="2" t="s">
        <v>14</v>
      </c>
      <c r="H128" s="2" t="s">
        <v>14</v>
      </c>
      <c r="I128" t="s">
        <v>15</v>
      </c>
      <c r="J128">
        <v>54.8</v>
      </c>
      <c r="K128" s="1">
        <v>85.2</v>
      </c>
      <c r="L128" t="s">
        <v>20</v>
      </c>
    </row>
    <row r="129" spans="1:12" x14ac:dyDescent="0.35">
      <c r="A129">
        <v>128</v>
      </c>
      <c r="B129" t="s">
        <v>12</v>
      </c>
      <c r="C129" s="1">
        <v>2.1</v>
      </c>
      <c r="D129">
        <v>66.3</v>
      </c>
      <c r="E129" s="1">
        <v>6.5</v>
      </c>
      <c r="F129" t="s">
        <v>18</v>
      </c>
      <c r="G129" s="2" t="s">
        <v>14</v>
      </c>
      <c r="H129" s="2" t="s">
        <v>15</v>
      </c>
      <c r="I129" t="s">
        <v>14</v>
      </c>
      <c r="J129">
        <v>88.4</v>
      </c>
      <c r="K129" s="1">
        <v>63</v>
      </c>
      <c r="L129" t="s">
        <v>21</v>
      </c>
    </row>
    <row r="130" spans="1:12" x14ac:dyDescent="0.35">
      <c r="A130">
        <v>129</v>
      </c>
      <c r="B130" t="s">
        <v>17</v>
      </c>
      <c r="C130" s="1">
        <v>2.6</v>
      </c>
      <c r="D130">
        <v>84.2</v>
      </c>
      <c r="E130" s="1">
        <v>6.6</v>
      </c>
      <c r="F130" t="s">
        <v>18</v>
      </c>
      <c r="G130" s="2" t="s">
        <v>14</v>
      </c>
      <c r="H130" s="2" t="s">
        <v>15</v>
      </c>
      <c r="I130" t="s">
        <v>14</v>
      </c>
      <c r="J130">
        <v>68.7</v>
      </c>
      <c r="K130" s="1">
        <v>81.099999999999994</v>
      </c>
      <c r="L130" t="s">
        <v>20</v>
      </c>
    </row>
    <row r="131" spans="1:12" x14ac:dyDescent="0.35">
      <c r="A131">
        <v>130</v>
      </c>
      <c r="B131" t="s">
        <v>17</v>
      </c>
      <c r="C131" s="1">
        <v>4.5999999999999996</v>
      </c>
      <c r="D131">
        <v>83.8</v>
      </c>
      <c r="E131" s="1">
        <v>7.2</v>
      </c>
      <c r="F131" t="s">
        <v>18</v>
      </c>
      <c r="G131" s="2" t="s">
        <v>14</v>
      </c>
      <c r="H131" s="2" t="s">
        <v>14</v>
      </c>
      <c r="I131" t="s">
        <v>15</v>
      </c>
      <c r="J131">
        <v>73.599999999999994</v>
      </c>
      <c r="K131" s="1">
        <v>87.1</v>
      </c>
      <c r="L131" t="s">
        <v>20</v>
      </c>
    </row>
    <row r="132" spans="1:12" x14ac:dyDescent="0.35">
      <c r="A132">
        <v>131</v>
      </c>
      <c r="B132" t="s">
        <v>17</v>
      </c>
      <c r="C132" s="1">
        <v>4.3</v>
      </c>
      <c r="D132">
        <v>100</v>
      </c>
      <c r="E132" s="1">
        <v>6.9</v>
      </c>
      <c r="F132" t="s">
        <v>18</v>
      </c>
      <c r="G132" s="2" t="s">
        <v>14</v>
      </c>
      <c r="H132" s="2" t="s">
        <v>15</v>
      </c>
      <c r="I132" t="s">
        <v>14</v>
      </c>
      <c r="J132">
        <v>80</v>
      </c>
      <c r="K132" s="1">
        <v>100</v>
      </c>
      <c r="L132" t="s">
        <v>16</v>
      </c>
    </row>
    <row r="133" spans="1:12" x14ac:dyDescent="0.35">
      <c r="A133">
        <v>132</v>
      </c>
      <c r="B133" t="s">
        <v>12</v>
      </c>
      <c r="C133" s="1">
        <v>2</v>
      </c>
      <c r="D133">
        <v>91.3</v>
      </c>
      <c r="E133" s="1">
        <v>4.0999999999999996</v>
      </c>
      <c r="F133" t="s">
        <v>19</v>
      </c>
      <c r="G133" s="2" t="s">
        <v>14</v>
      </c>
      <c r="H133" s="2" t="s">
        <v>14</v>
      </c>
      <c r="I133" t="s">
        <v>15</v>
      </c>
      <c r="J133">
        <v>62.4</v>
      </c>
      <c r="K133" s="1">
        <v>75.7</v>
      </c>
      <c r="L133" t="s">
        <v>22</v>
      </c>
    </row>
    <row r="134" spans="1:12" x14ac:dyDescent="0.35">
      <c r="A134">
        <v>133</v>
      </c>
      <c r="B134" t="s">
        <v>12</v>
      </c>
      <c r="C134" s="1">
        <v>3.6</v>
      </c>
      <c r="D134">
        <v>74.8</v>
      </c>
      <c r="E134" s="1">
        <v>6.5</v>
      </c>
      <c r="F134" t="s">
        <v>13</v>
      </c>
      <c r="G134" s="2" t="s">
        <v>15</v>
      </c>
      <c r="H134" s="2" t="s">
        <v>14</v>
      </c>
      <c r="I134" t="s">
        <v>15</v>
      </c>
      <c r="J134">
        <v>80.400000000000006</v>
      </c>
      <c r="K134" s="1">
        <v>77.3</v>
      </c>
      <c r="L134" t="s">
        <v>22</v>
      </c>
    </row>
    <row r="135" spans="1:12" x14ac:dyDescent="0.35">
      <c r="A135">
        <v>134</v>
      </c>
      <c r="B135" t="s">
        <v>12</v>
      </c>
      <c r="C135" s="1">
        <v>4.5999999999999996</v>
      </c>
      <c r="D135">
        <v>100</v>
      </c>
      <c r="E135" s="1">
        <v>5.8</v>
      </c>
      <c r="F135" t="s">
        <v>23</v>
      </c>
      <c r="G135" s="2" t="s">
        <v>14</v>
      </c>
      <c r="H135" s="2" t="s">
        <v>14</v>
      </c>
      <c r="I135" t="s">
        <v>15</v>
      </c>
      <c r="J135">
        <v>37.5</v>
      </c>
      <c r="K135" s="1">
        <v>85.6</v>
      </c>
      <c r="L135" t="s">
        <v>20</v>
      </c>
    </row>
    <row r="136" spans="1:12" x14ac:dyDescent="0.35">
      <c r="A136">
        <v>135</v>
      </c>
      <c r="B136" t="s">
        <v>12</v>
      </c>
      <c r="C136" s="1">
        <v>1</v>
      </c>
      <c r="D136">
        <v>97.2</v>
      </c>
      <c r="E136" s="1">
        <v>7</v>
      </c>
      <c r="F136" t="s">
        <v>18</v>
      </c>
      <c r="G136" s="2" t="s">
        <v>14</v>
      </c>
      <c r="H136" s="2" t="s">
        <v>14</v>
      </c>
      <c r="I136" t="s">
        <v>15</v>
      </c>
      <c r="J136">
        <v>61.4</v>
      </c>
      <c r="K136" s="1">
        <v>80.8</v>
      </c>
      <c r="L136" t="s">
        <v>20</v>
      </c>
    </row>
    <row r="137" spans="1:12" x14ac:dyDescent="0.35">
      <c r="A137">
        <v>136</v>
      </c>
      <c r="B137" t="s">
        <v>12</v>
      </c>
      <c r="C137" s="1">
        <v>4.3</v>
      </c>
      <c r="D137">
        <v>90.8</v>
      </c>
      <c r="E137" s="1">
        <v>10</v>
      </c>
      <c r="F137" t="s">
        <v>13</v>
      </c>
      <c r="G137" s="2" t="s">
        <v>14</v>
      </c>
      <c r="H137" s="2" t="s">
        <v>14</v>
      </c>
      <c r="I137" t="s">
        <v>15</v>
      </c>
      <c r="J137">
        <v>58.9</v>
      </c>
      <c r="K137" s="1">
        <v>94.5</v>
      </c>
      <c r="L137" t="s">
        <v>16</v>
      </c>
    </row>
    <row r="138" spans="1:12" x14ac:dyDescent="0.35">
      <c r="A138">
        <v>137</v>
      </c>
      <c r="B138" t="s">
        <v>12</v>
      </c>
      <c r="C138" s="1">
        <v>2.5</v>
      </c>
      <c r="D138">
        <v>82.7</v>
      </c>
      <c r="E138" s="1">
        <v>7.2</v>
      </c>
      <c r="F138" t="s">
        <v>18</v>
      </c>
      <c r="G138" s="2" t="s">
        <v>15</v>
      </c>
      <c r="H138" s="2" t="s">
        <v>15</v>
      </c>
      <c r="I138" t="s">
        <v>14</v>
      </c>
      <c r="J138">
        <v>55</v>
      </c>
      <c r="K138" s="1">
        <v>59.7</v>
      </c>
      <c r="L138" t="s">
        <v>25</v>
      </c>
    </row>
    <row r="139" spans="1:12" x14ac:dyDescent="0.35">
      <c r="A139">
        <v>138</v>
      </c>
      <c r="B139" t="s">
        <v>12</v>
      </c>
      <c r="C139" s="1">
        <v>4.4000000000000004</v>
      </c>
      <c r="D139">
        <v>75.400000000000006</v>
      </c>
      <c r="E139" s="1">
        <v>6.4</v>
      </c>
      <c r="F139" t="s">
        <v>18</v>
      </c>
      <c r="G139" s="2" t="s">
        <v>14</v>
      </c>
      <c r="H139" s="2" t="s">
        <v>15</v>
      </c>
      <c r="I139" t="s">
        <v>15</v>
      </c>
      <c r="J139">
        <v>67.400000000000006</v>
      </c>
      <c r="K139" s="1">
        <v>80.900000000000006</v>
      </c>
      <c r="L139" t="s">
        <v>20</v>
      </c>
    </row>
    <row r="140" spans="1:12" x14ac:dyDescent="0.35">
      <c r="A140">
        <v>139</v>
      </c>
      <c r="B140" t="s">
        <v>12</v>
      </c>
      <c r="C140" s="1">
        <v>2.4</v>
      </c>
      <c r="D140">
        <v>81.3</v>
      </c>
      <c r="E140" s="1">
        <v>7.9</v>
      </c>
      <c r="F140" t="s">
        <v>18</v>
      </c>
      <c r="G140" s="2" t="s">
        <v>14</v>
      </c>
      <c r="H140" s="2" t="s">
        <v>14</v>
      </c>
      <c r="I140" t="s">
        <v>15</v>
      </c>
      <c r="J140">
        <v>74.599999999999994</v>
      </c>
      <c r="K140" s="1">
        <v>82.6</v>
      </c>
      <c r="L140" t="s">
        <v>20</v>
      </c>
    </row>
    <row r="141" spans="1:12" x14ac:dyDescent="0.35">
      <c r="A141">
        <v>140</v>
      </c>
      <c r="B141" t="s">
        <v>12</v>
      </c>
      <c r="C141" s="1">
        <v>0.8</v>
      </c>
      <c r="D141">
        <v>95.9</v>
      </c>
      <c r="E141" s="1">
        <v>7.4</v>
      </c>
      <c r="F141" t="s">
        <v>23</v>
      </c>
      <c r="G141" s="2" t="s">
        <v>14</v>
      </c>
      <c r="H141" s="2" t="s">
        <v>15</v>
      </c>
      <c r="I141" t="s">
        <v>15</v>
      </c>
      <c r="J141">
        <v>78.400000000000006</v>
      </c>
      <c r="K141" s="1">
        <v>80.2</v>
      </c>
      <c r="L141" t="s">
        <v>20</v>
      </c>
    </row>
    <row r="142" spans="1:12" x14ac:dyDescent="0.35">
      <c r="A142">
        <v>141</v>
      </c>
      <c r="B142" t="s">
        <v>17</v>
      </c>
      <c r="C142" s="1">
        <v>1.1000000000000001</v>
      </c>
      <c r="D142">
        <v>100</v>
      </c>
      <c r="E142" s="1">
        <v>7.3</v>
      </c>
      <c r="F142" t="s">
        <v>23</v>
      </c>
      <c r="G142" s="2" t="s">
        <v>14</v>
      </c>
      <c r="H142" s="2" t="s">
        <v>15</v>
      </c>
      <c r="I142" t="s">
        <v>14</v>
      </c>
      <c r="J142">
        <v>72.900000000000006</v>
      </c>
      <c r="K142" s="1">
        <v>82.4</v>
      </c>
      <c r="L142" t="s">
        <v>20</v>
      </c>
    </row>
    <row r="143" spans="1:12" x14ac:dyDescent="0.35">
      <c r="A143">
        <v>142</v>
      </c>
      <c r="B143" t="s">
        <v>12</v>
      </c>
      <c r="C143" s="1">
        <v>3.6</v>
      </c>
      <c r="D143">
        <v>100</v>
      </c>
      <c r="E143" s="1">
        <v>7.5</v>
      </c>
      <c r="F143" t="s">
        <v>13</v>
      </c>
      <c r="G143" s="2" t="s">
        <v>14</v>
      </c>
      <c r="H143" s="2" t="s">
        <v>15</v>
      </c>
      <c r="I143" t="s">
        <v>15</v>
      </c>
      <c r="J143">
        <v>62</v>
      </c>
      <c r="K143" s="1">
        <v>75.900000000000006</v>
      </c>
      <c r="L143" t="s">
        <v>22</v>
      </c>
    </row>
    <row r="144" spans="1:12" x14ac:dyDescent="0.35">
      <c r="A144">
        <v>143</v>
      </c>
      <c r="B144" t="s">
        <v>17</v>
      </c>
      <c r="C144" s="1">
        <v>3.9</v>
      </c>
      <c r="D144">
        <v>80.099999999999994</v>
      </c>
      <c r="E144" s="1">
        <v>9.3000000000000007</v>
      </c>
      <c r="F144" t="s">
        <v>13</v>
      </c>
      <c r="G144" s="2" t="s">
        <v>14</v>
      </c>
      <c r="H144" s="2" t="s">
        <v>15</v>
      </c>
      <c r="I144" t="s">
        <v>14</v>
      </c>
      <c r="J144">
        <v>74.400000000000006</v>
      </c>
      <c r="K144" s="1">
        <v>88.5</v>
      </c>
      <c r="L144" t="s">
        <v>20</v>
      </c>
    </row>
    <row r="145" spans="1:12" x14ac:dyDescent="0.35">
      <c r="A145">
        <v>144</v>
      </c>
      <c r="B145" t="s">
        <v>17</v>
      </c>
      <c r="C145" s="1">
        <v>2.1</v>
      </c>
      <c r="D145">
        <v>73.8</v>
      </c>
      <c r="E145" s="1">
        <v>5.4</v>
      </c>
      <c r="F145" t="s">
        <v>19</v>
      </c>
      <c r="G145" s="2" t="s">
        <v>14</v>
      </c>
      <c r="H145" s="2" t="s">
        <v>14</v>
      </c>
      <c r="I145" t="s">
        <v>14</v>
      </c>
      <c r="J145">
        <v>71.5</v>
      </c>
      <c r="K145" s="1">
        <v>69.599999999999994</v>
      </c>
      <c r="L145" t="s">
        <v>21</v>
      </c>
    </row>
    <row r="146" spans="1:12" x14ac:dyDescent="0.35">
      <c r="A146">
        <v>145</v>
      </c>
      <c r="B146" t="s">
        <v>17</v>
      </c>
      <c r="C146" s="1">
        <v>4.5</v>
      </c>
      <c r="D146">
        <v>86.4</v>
      </c>
      <c r="E146" s="1">
        <v>7.4</v>
      </c>
      <c r="F146" t="s">
        <v>18</v>
      </c>
      <c r="G146" s="2" t="s">
        <v>14</v>
      </c>
      <c r="H146" s="2" t="s">
        <v>15</v>
      </c>
      <c r="I146" t="s">
        <v>14</v>
      </c>
      <c r="J146">
        <v>81.2</v>
      </c>
      <c r="K146" s="1">
        <v>86.8</v>
      </c>
      <c r="L146" t="s">
        <v>20</v>
      </c>
    </row>
    <row r="147" spans="1:12" x14ac:dyDescent="0.35">
      <c r="A147">
        <v>146</v>
      </c>
      <c r="B147" t="s">
        <v>12</v>
      </c>
      <c r="C147" s="1">
        <v>1</v>
      </c>
      <c r="D147">
        <v>67.3</v>
      </c>
      <c r="E147" s="1">
        <v>5.7</v>
      </c>
      <c r="F147" t="s">
        <v>18</v>
      </c>
      <c r="G147" s="2" t="s">
        <v>14</v>
      </c>
      <c r="H147" s="2" t="s">
        <v>15</v>
      </c>
      <c r="I147" t="s">
        <v>15</v>
      </c>
      <c r="J147">
        <v>79.3</v>
      </c>
      <c r="K147" s="1">
        <v>65.2</v>
      </c>
      <c r="L147" t="s">
        <v>21</v>
      </c>
    </row>
    <row r="148" spans="1:12" x14ac:dyDescent="0.35">
      <c r="A148">
        <v>147</v>
      </c>
      <c r="B148" t="s">
        <v>12</v>
      </c>
      <c r="C148" s="1">
        <v>3.4</v>
      </c>
      <c r="D148">
        <v>88.2</v>
      </c>
      <c r="E148" s="1">
        <v>7.5</v>
      </c>
      <c r="F148" t="s">
        <v>18</v>
      </c>
      <c r="G148" s="2" t="s">
        <v>14</v>
      </c>
      <c r="H148" s="2" t="s">
        <v>15</v>
      </c>
      <c r="I148" t="s">
        <v>14</v>
      </c>
      <c r="J148">
        <v>70.400000000000006</v>
      </c>
      <c r="K148" s="1">
        <v>82</v>
      </c>
      <c r="L148" t="s">
        <v>20</v>
      </c>
    </row>
    <row r="149" spans="1:12" x14ac:dyDescent="0.35">
      <c r="A149">
        <v>148</v>
      </c>
      <c r="B149" t="s">
        <v>12</v>
      </c>
      <c r="C149" s="1">
        <v>1.7</v>
      </c>
      <c r="D149">
        <v>83.5</v>
      </c>
      <c r="E149" s="1">
        <v>5.7</v>
      </c>
      <c r="F149" t="s">
        <v>23</v>
      </c>
      <c r="G149" s="2" t="s">
        <v>14</v>
      </c>
      <c r="H149" s="2" t="s">
        <v>14</v>
      </c>
      <c r="I149" t="s">
        <v>14</v>
      </c>
      <c r="J149">
        <v>59.2</v>
      </c>
      <c r="K149" s="1">
        <v>46.8</v>
      </c>
      <c r="L149" t="s">
        <v>25</v>
      </c>
    </row>
    <row r="150" spans="1:12" x14ac:dyDescent="0.35">
      <c r="A150">
        <v>149</v>
      </c>
      <c r="B150" t="s">
        <v>12</v>
      </c>
      <c r="C150" s="1">
        <v>2.5</v>
      </c>
      <c r="D150">
        <v>80.3</v>
      </c>
      <c r="E150" s="1">
        <v>6.3</v>
      </c>
      <c r="F150" t="s">
        <v>19</v>
      </c>
      <c r="G150" s="2" t="s">
        <v>14</v>
      </c>
      <c r="H150" s="2" t="s">
        <v>14</v>
      </c>
      <c r="I150" t="s">
        <v>14</v>
      </c>
      <c r="J150">
        <v>62.2</v>
      </c>
      <c r="K150" s="1">
        <v>68.599999999999994</v>
      </c>
      <c r="L150" t="s">
        <v>21</v>
      </c>
    </row>
    <row r="151" spans="1:12" x14ac:dyDescent="0.35">
      <c r="A151">
        <v>150</v>
      </c>
      <c r="B151" t="s">
        <v>17</v>
      </c>
      <c r="C151" s="1">
        <v>3.6</v>
      </c>
      <c r="D151">
        <v>69.099999999999994</v>
      </c>
      <c r="E151" s="1">
        <v>6.4</v>
      </c>
      <c r="F151" t="s">
        <v>18</v>
      </c>
      <c r="G151" s="2" t="s">
        <v>14</v>
      </c>
      <c r="H151" s="2" t="s">
        <v>14</v>
      </c>
      <c r="I151" t="s">
        <v>14</v>
      </c>
      <c r="J151">
        <v>63.4</v>
      </c>
      <c r="K151" s="1">
        <v>69.2</v>
      </c>
      <c r="L151" t="s">
        <v>21</v>
      </c>
    </row>
    <row r="152" spans="1:12" x14ac:dyDescent="0.35">
      <c r="A152">
        <v>151</v>
      </c>
      <c r="B152" t="s">
        <v>12</v>
      </c>
      <c r="C152" s="1">
        <v>2.2000000000000002</v>
      </c>
      <c r="D152">
        <v>90.1</v>
      </c>
      <c r="E152" s="1">
        <v>8</v>
      </c>
      <c r="F152" t="s">
        <v>24</v>
      </c>
      <c r="G152" s="2" t="s">
        <v>14</v>
      </c>
      <c r="H152" s="2" t="s">
        <v>14</v>
      </c>
      <c r="I152" t="s">
        <v>15</v>
      </c>
      <c r="J152">
        <v>66.2</v>
      </c>
      <c r="K152" s="1">
        <v>84.7</v>
      </c>
      <c r="L152" t="s">
        <v>20</v>
      </c>
    </row>
    <row r="153" spans="1:12" x14ac:dyDescent="0.35">
      <c r="A153">
        <v>152</v>
      </c>
      <c r="B153" t="s">
        <v>12</v>
      </c>
      <c r="C153" s="1">
        <v>2.9</v>
      </c>
      <c r="D153">
        <v>79.7</v>
      </c>
      <c r="E153" s="1">
        <v>7.9</v>
      </c>
      <c r="F153" t="s">
        <v>23</v>
      </c>
      <c r="G153" s="2" t="s">
        <v>14</v>
      </c>
      <c r="H153" s="2" t="s">
        <v>14</v>
      </c>
      <c r="I153" t="s">
        <v>14</v>
      </c>
      <c r="J153">
        <v>73.2</v>
      </c>
      <c r="K153" s="1">
        <v>75.900000000000006</v>
      </c>
      <c r="L153" t="s">
        <v>22</v>
      </c>
    </row>
    <row r="154" spans="1:12" x14ac:dyDescent="0.35">
      <c r="A154">
        <v>153</v>
      </c>
      <c r="B154" t="s">
        <v>12</v>
      </c>
      <c r="C154" s="1">
        <v>5</v>
      </c>
      <c r="D154">
        <v>73.3</v>
      </c>
      <c r="E154" s="1">
        <v>5.3</v>
      </c>
      <c r="F154" t="s">
        <v>18</v>
      </c>
      <c r="G154" s="2" t="s">
        <v>14</v>
      </c>
      <c r="H154" s="2" t="s">
        <v>15</v>
      </c>
      <c r="I154" t="s">
        <v>14</v>
      </c>
      <c r="J154">
        <v>78.599999999999994</v>
      </c>
      <c r="K154" s="1">
        <v>84.7</v>
      </c>
      <c r="L154" t="s">
        <v>20</v>
      </c>
    </row>
    <row r="155" spans="1:12" x14ac:dyDescent="0.35">
      <c r="A155">
        <v>154</v>
      </c>
      <c r="B155" t="s">
        <v>12</v>
      </c>
      <c r="C155" s="1">
        <v>2.6</v>
      </c>
      <c r="D155">
        <v>56.3</v>
      </c>
      <c r="E155" s="1">
        <v>6.9</v>
      </c>
      <c r="F155" t="s">
        <v>13</v>
      </c>
      <c r="G155" s="2" t="s">
        <v>15</v>
      </c>
      <c r="H155" s="2" t="s">
        <v>14</v>
      </c>
      <c r="I155" t="s">
        <v>15</v>
      </c>
      <c r="J155">
        <v>69.400000000000006</v>
      </c>
      <c r="K155" s="1">
        <v>75.7</v>
      </c>
      <c r="L155" t="s">
        <v>22</v>
      </c>
    </row>
    <row r="156" spans="1:12" x14ac:dyDescent="0.35">
      <c r="A156">
        <v>155</v>
      </c>
      <c r="B156" t="s">
        <v>12</v>
      </c>
      <c r="C156" s="1">
        <v>4.8</v>
      </c>
      <c r="D156">
        <v>84.7</v>
      </c>
      <c r="E156" s="1">
        <v>5.9</v>
      </c>
      <c r="F156" t="s">
        <v>13</v>
      </c>
      <c r="G156" s="2" t="s">
        <v>14</v>
      </c>
      <c r="H156" s="2" t="s">
        <v>15</v>
      </c>
      <c r="I156" t="s">
        <v>15</v>
      </c>
      <c r="J156">
        <v>70.2</v>
      </c>
      <c r="K156" s="1">
        <v>95.4</v>
      </c>
      <c r="L156" t="s">
        <v>16</v>
      </c>
    </row>
    <row r="157" spans="1:12" x14ac:dyDescent="0.35">
      <c r="A157">
        <v>156</v>
      </c>
      <c r="B157" t="s">
        <v>17</v>
      </c>
      <c r="C157" s="1">
        <v>1.8</v>
      </c>
      <c r="D157">
        <v>100</v>
      </c>
      <c r="E157" s="1">
        <v>5.3</v>
      </c>
      <c r="F157" t="s">
        <v>19</v>
      </c>
      <c r="G157" s="2" t="s">
        <v>14</v>
      </c>
      <c r="H157" s="2" t="s">
        <v>14</v>
      </c>
      <c r="I157" t="s">
        <v>15</v>
      </c>
      <c r="J157">
        <v>71.7</v>
      </c>
      <c r="K157" s="1">
        <v>87.6</v>
      </c>
      <c r="L157" t="s">
        <v>20</v>
      </c>
    </row>
    <row r="158" spans="1:12" x14ac:dyDescent="0.35">
      <c r="A158">
        <v>157</v>
      </c>
      <c r="B158" t="s">
        <v>12</v>
      </c>
      <c r="C158" s="1">
        <v>4.3</v>
      </c>
      <c r="D158">
        <v>100</v>
      </c>
      <c r="E158" s="1">
        <v>6.5</v>
      </c>
      <c r="F158" t="s">
        <v>18</v>
      </c>
      <c r="G158" s="2" t="s">
        <v>14</v>
      </c>
      <c r="H158" s="2" t="s">
        <v>15</v>
      </c>
      <c r="I158" t="s">
        <v>15</v>
      </c>
      <c r="J158">
        <v>63.8</v>
      </c>
      <c r="K158" s="1">
        <v>87.7</v>
      </c>
      <c r="L158" t="s">
        <v>20</v>
      </c>
    </row>
    <row r="159" spans="1:12" x14ac:dyDescent="0.35">
      <c r="A159">
        <v>158</v>
      </c>
      <c r="B159" t="s">
        <v>17</v>
      </c>
      <c r="C159" s="1">
        <v>5.7</v>
      </c>
      <c r="D159">
        <v>80.400000000000006</v>
      </c>
      <c r="E159" s="1">
        <v>6.4</v>
      </c>
      <c r="F159" t="s">
        <v>23</v>
      </c>
      <c r="G159" s="2" t="s">
        <v>14</v>
      </c>
      <c r="H159" s="2" t="s">
        <v>14</v>
      </c>
      <c r="I159" t="s">
        <v>14</v>
      </c>
      <c r="J159">
        <v>58.9</v>
      </c>
      <c r="K159" s="1">
        <v>89.3</v>
      </c>
      <c r="L159" t="s">
        <v>20</v>
      </c>
    </row>
    <row r="160" spans="1:12" x14ac:dyDescent="0.35">
      <c r="A160">
        <v>159</v>
      </c>
      <c r="B160" t="s">
        <v>12</v>
      </c>
      <c r="C160" s="1">
        <v>0.5</v>
      </c>
      <c r="D160">
        <v>79</v>
      </c>
      <c r="E160" s="1">
        <v>9.6999999999999993</v>
      </c>
      <c r="F160" t="s">
        <v>18</v>
      </c>
      <c r="G160" s="2" t="s">
        <v>14</v>
      </c>
      <c r="H160" s="2" t="s">
        <v>14</v>
      </c>
      <c r="I160" t="s">
        <v>15</v>
      </c>
      <c r="J160">
        <v>48.9</v>
      </c>
      <c r="K160" s="1">
        <v>63.7</v>
      </c>
      <c r="L160" t="s">
        <v>21</v>
      </c>
    </row>
    <row r="161" spans="1:12" x14ac:dyDescent="0.35">
      <c r="A161">
        <v>160</v>
      </c>
      <c r="B161" t="s">
        <v>17</v>
      </c>
      <c r="C161" s="1">
        <v>2.2999999999999998</v>
      </c>
      <c r="D161">
        <v>89.7</v>
      </c>
      <c r="E161" s="1">
        <v>7.3</v>
      </c>
      <c r="F161" t="s">
        <v>23</v>
      </c>
      <c r="G161" s="2" t="s">
        <v>14</v>
      </c>
      <c r="H161" s="2" t="s">
        <v>15</v>
      </c>
      <c r="I161" t="s">
        <v>14</v>
      </c>
      <c r="J161">
        <v>61.7</v>
      </c>
      <c r="K161" s="1">
        <v>74</v>
      </c>
      <c r="L161" t="s">
        <v>22</v>
      </c>
    </row>
    <row r="162" spans="1:12" x14ac:dyDescent="0.35">
      <c r="A162">
        <v>161</v>
      </c>
      <c r="B162" t="s">
        <v>12</v>
      </c>
      <c r="C162" s="1">
        <v>4.4000000000000004</v>
      </c>
      <c r="D162">
        <v>75</v>
      </c>
      <c r="E162" s="1">
        <v>5.0999999999999996</v>
      </c>
      <c r="F162" t="s">
        <v>13</v>
      </c>
      <c r="G162" s="2" t="s">
        <v>14</v>
      </c>
      <c r="H162" s="2" t="s">
        <v>15</v>
      </c>
      <c r="I162" t="s">
        <v>15</v>
      </c>
      <c r="J162">
        <v>75.7</v>
      </c>
      <c r="K162" s="1">
        <v>87.9</v>
      </c>
      <c r="L162" t="s">
        <v>20</v>
      </c>
    </row>
    <row r="163" spans="1:12" x14ac:dyDescent="0.35">
      <c r="A163">
        <v>162</v>
      </c>
      <c r="B163" t="s">
        <v>12</v>
      </c>
      <c r="C163" s="1">
        <v>3.2</v>
      </c>
      <c r="D163">
        <v>88</v>
      </c>
      <c r="E163" s="1">
        <v>6.1</v>
      </c>
      <c r="F163" t="s">
        <v>13</v>
      </c>
      <c r="G163" s="2" t="s">
        <v>14</v>
      </c>
      <c r="H163" s="2" t="s">
        <v>15</v>
      </c>
      <c r="I163" t="s">
        <v>15</v>
      </c>
      <c r="J163">
        <v>61.6</v>
      </c>
      <c r="K163" s="1">
        <v>76.599999999999994</v>
      </c>
      <c r="L163" t="s">
        <v>22</v>
      </c>
    </row>
    <row r="164" spans="1:12" x14ac:dyDescent="0.35">
      <c r="A164">
        <v>163</v>
      </c>
      <c r="B164" t="s">
        <v>17</v>
      </c>
      <c r="C164" s="1">
        <v>4.0999999999999996</v>
      </c>
      <c r="D164">
        <v>92.7</v>
      </c>
      <c r="E164" s="1">
        <v>8</v>
      </c>
      <c r="F164" t="s">
        <v>23</v>
      </c>
      <c r="G164" s="2" t="s">
        <v>14</v>
      </c>
      <c r="H164" s="2" t="s">
        <v>14</v>
      </c>
      <c r="I164" t="s">
        <v>14</v>
      </c>
      <c r="J164">
        <v>67.099999999999994</v>
      </c>
      <c r="K164" s="1">
        <v>97.3</v>
      </c>
      <c r="L164" t="s">
        <v>16</v>
      </c>
    </row>
    <row r="165" spans="1:12" x14ac:dyDescent="0.35">
      <c r="A165">
        <v>164</v>
      </c>
      <c r="B165" t="s">
        <v>17</v>
      </c>
      <c r="C165" s="1">
        <v>2.6</v>
      </c>
      <c r="D165">
        <v>97.3</v>
      </c>
      <c r="E165" s="1">
        <v>9.3000000000000007</v>
      </c>
      <c r="F165" t="s">
        <v>23</v>
      </c>
      <c r="G165" s="2" t="s">
        <v>14</v>
      </c>
      <c r="H165" s="2" t="s">
        <v>14</v>
      </c>
      <c r="I165" t="s">
        <v>15</v>
      </c>
      <c r="J165">
        <v>75.599999999999994</v>
      </c>
      <c r="K165" s="1">
        <v>90.2</v>
      </c>
      <c r="L165" t="s">
        <v>16</v>
      </c>
    </row>
    <row r="166" spans="1:12" x14ac:dyDescent="0.35">
      <c r="A166">
        <v>165</v>
      </c>
      <c r="B166" t="s">
        <v>17</v>
      </c>
      <c r="C166" s="1">
        <v>3.6</v>
      </c>
      <c r="D166">
        <v>84</v>
      </c>
      <c r="E166" s="1">
        <v>4.9000000000000004</v>
      </c>
      <c r="F166" t="s">
        <v>24</v>
      </c>
      <c r="G166" s="2" t="s">
        <v>14</v>
      </c>
      <c r="H166" s="2" t="s">
        <v>15</v>
      </c>
      <c r="I166" t="s">
        <v>15</v>
      </c>
      <c r="J166">
        <v>76.2</v>
      </c>
      <c r="K166" s="1">
        <v>88.7</v>
      </c>
      <c r="L166" t="s">
        <v>20</v>
      </c>
    </row>
    <row r="167" spans="1:12" x14ac:dyDescent="0.35">
      <c r="A167">
        <v>166</v>
      </c>
      <c r="B167" t="s">
        <v>12</v>
      </c>
      <c r="C167" s="1">
        <v>3.3</v>
      </c>
      <c r="D167">
        <v>83</v>
      </c>
      <c r="E167" s="1">
        <v>4.5</v>
      </c>
      <c r="F167" t="s">
        <v>18</v>
      </c>
      <c r="G167" s="2" t="s">
        <v>14</v>
      </c>
      <c r="H167" s="2" t="s">
        <v>14</v>
      </c>
      <c r="I167" t="s">
        <v>15</v>
      </c>
      <c r="J167">
        <v>57</v>
      </c>
      <c r="K167" s="1">
        <v>84.8</v>
      </c>
      <c r="L167" t="s">
        <v>20</v>
      </c>
    </row>
    <row r="168" spans="1:12" x14ac:dyDescent="0.35">
      <c r="A168">
        <v>167</v>
      </c>
      <c r="B168" t="s">
        <v>17</v>
      </c>
      <c r="C168" s="1">
        <v>5.3</v>
      </c>
      <c r="D168">
        <v>76.2</v>
      </c>
      <c r="E168" s="1">
        <v>9</v>
      </c>
      <c r="F168" t="s">
        <v>23</v>
      </c>
      <c r="G168" s="2" t="s">
        <v>14</v>
      </c>
      <c r="H168" s="2" t="s">
        <v>15</v>
      </c>
      <c r="I168" t="s">
        <v>15</v>
      </c>
      <c r="J168">
        <v>82</v>
      </c>
      <c r="K168" s="1">
        <v>100</v>
      </c>
      <c r="L168" t="s">
        <v>16</v>
      </c>
    </row>
    <row r="169" spans="1:12" x14ac:dyDescent="0.35">
      <c r="A169">
        <v>168</v>
      </c>
      <c r="B169" t="s">
        <v>12</v>
      </c>
      <c r="C169" s="1">
        <v>3.9</v>
      </c>
      <c r="D169">
        <v>76.7</v>
      </c>
      <c r="E169" s="1">
        <v>7.3</v>
      </c>
      <c r="F169" t="s">
        <v>18</v>
      </c>
      <c r="G169" s="2" t="s">
        <v>14</v>
      </c>
      <c r="H169" s="2" t="s">
        <v>14</v>
      </c>
      <c r="I169" t="s">
        <v>15</v>
      </c>
      <c r="J169">
        <v>83.5</v>
      </c>
      <c r="K169" s="1">
        <v>82.1</v>
      </c>
      <c r="L169" t="s">
        <v>20</v>
      </c>
    </row>
    <row r="170" spans="1:12" x14ac:dyDescent="0.35">
      <c r="A170">
        <v>169</v>
      </c>
      <c r="B170" t="s">
        <v>12</v>
      </c>
      <c r="C170" s="1">
        <v>4</v>
      </c>
      <c r="D170">
        <v>82.7</v>
      </c>
      <c r="E170" s="1">
        <v>5.8</v>
      </c>
      <c r="F170" t="s">
        <v>13</v>
      </c>
      <c r="G170" s="2" t="s">
        <v>15</v>
      </c>
      <c r="H170" s="2" t="s">
        <v>14</v>
      </c>
      <c r="I170" t="s">
        <v>14</v>
      </c>
      <c r="J170">
        <v>56.4</v>
      </c>
      <c r="K170" s="1">
        <v>75.099999999999994</v>
      </c>
      <c r="L170" t="s">
        <v>22</v>
      </c>
    </row>
    <row r="171" spans="1:12" x14ac:dyDescent="0.35">
      <c r="A171">
        <v>170</v>
      </c>
      <c r="B171" t="s">
        <v>17</v>
      </c>
      <c r="C171" s="1">
        <v>2.9</v>
      </c>
      <c r="D171">
        <v>88.7</v>
      </c>
      <c r="E171" s="1">
        <v>7.4</v>
      </c>
      <c r="F171" t="s">
        <v>13</v>
      </c>
      <c r="G171" s="2" t="s">
        <v>15</v>
      </c>
      <c r="H171" s="2" t="s">
        <v>14</v>
      </c>
      <c r="I171" t="s">
        <v>14</v>
      </c>
      <c r="J171">
        <v>60.1</v>
      </c>
      <c r="K171" s="1">
        <v>78.099999999999994</v>
      </c>
      <c r="L171" t="s">
        <v>22</v>
      </c>
    </row>
    <row r="172" spans="1:12" x14ac:dyDescent="0.35">
      <c r="A172">
        <v>171</v>
      </c>
      <c r="B172" t="s">
        <v>17</v>
      </c>
      <c r="C172" s="1">
        <v>2.8</v>
      </c>
      <c r="D172">
        <v>94.1</v>
      </c>
      <c r="E172" s="1">
        <v>3.6</v>
      </c>
      <c r="F172" t="s">
        <v>13</v>
      </c>
      <c r="G172" s="2" t="s">
        <v>14</v>
      </c>
      <c r="H172" s="2" t="s">
        <v>14</v>
      </c>
      <c r="I172" t="s">
        <v>15</v>
      </c>
      <c r="J172">
        <v>84.3</v>
      </c>
      <c r="K172" s="1">
        <v>92.9</v>
      </c>
      <c r="L172" t="s">
        <v>16</v>
      </c>
    </row>
    <row r="173" spans="1:12" x14ac:dyDescent="0.35">
      <c r="A173">
        <v>172</v>
      </c>
      <c r="B173" t="s">
        <v>12</v>
      </c>
      <c r="C173" s="1">
        <v>2.9</v>
      </c>
      <c r="D173">
        <v>77</v>
      </c>
      <c r="E173" s="1">
        <v>6.8</v>
      </c>
      <c r="F173" t="s">
        <v>13</v>
      </c>
      <c r="G173" s="2" t="s">
        <v>14</v>
      </c>
      <c r="H173" s="2" t="s">
        <v>15</v>
      </c>
      <c r="I173" t="s">
        <v>15</v>
      </c>
      <c r="J173">
        <v>68.2</v>
      </c>
      <c r="K173" s="1">
        <v>71.8</v>
      </c>
      <c r="L173" t="s">
        <v>22</v>
      </c>
    </row>
    <row r="174" spans="1:12" x14ac:dyDescent="0.35">
      <c r="A174">
        <v>173</v>
      </c>
      <c r="B174" t="s">
        <v>12</v>
      </c>
      <c r="C174" s="1">
        <v>4.0999999999999996</v>
      </c>
      <c r="D174">
        <v>99.9</v>
      </c>
      <c r="E174" s="1">
        <v>7.2</v>
      </c>
      <c r="F174" t="s">
        <v>19</v>
      </c>
      <c r="G174" s="2" t="s">
        <v>14</v>
      </c>
      <c r="H174" s="2" t="s">
        <v>15</v>
      </c>
      <c r="I174" t="s">
        <v>15</v>
      </c>
      <c r="J174">
        <v>43.4</v>
      </c>
      <c r="K174" s="1">
        <v>78.5</v>
      </c>
      <c r="L174" t="s">
        <v>22</v>
      </c>
    </row>
    <row r="175" spans="1:12" x14ac:dyDescent="0.35">
      <c r="A175">
        <v>174</v>
      </c>
      <c r="B175" t="s">
        <v>17</v>
      </c>
      <c r="C175" s="1">
        <v>2.9</v>
      </c>
      <c r="D175">
        <v>82.3</v>
      </c>
      <c r="E175" s="1">
        <v>7.9</v>
      </c>
      <c r="F175" t="s">
        <v>18</v>
      </c>
      <c r="G175" s="2" t="s">
        <v>14</v>
      </c>
      <c r="H175" s="2" t="s">
        <v>14</v>
      </c>
      <c r="I175" t="s">
        <v>15</v>
      </c>
      <c r="J175">
        <v>53.2</v>
      </c>
      <c r="K175" s="1">
        <v>82.6</v>
      </c>
      <c r="L175" t="s">
        <v>20</v>
      </c>
    </row>
    <row r="176" spans="1:12" x14ac:dyDescent="0.35">
      <c r="A176">
        <v>175</v>
      </c>
      <c r="B176" t="s">
        <v>17</v>
      </c>
      <c r="C176" s="1">
        <v>3.9</v>
      </c>
      <c r="D176">
        <v>84.8</v>
      </c>
      <c r="E176" s="1">
        <v>5.6</v>
      </c>
      <c r="F176" t="s">
        <v>23</v>
      </c>
      <c r="G176" s="2" t="s">
        <v>14</v>
      </c>
      <c r="H176" s="2" t="s">
        <v>15</v>
      </c>
      <c r="I176" t="s">
        <v>15</v>
      </c>
      <c r="J176">
        <v>67</v>
      </c>
      <c r="K176" s="1">
        <v>79.2</v>
      </c>
      <c r="L176" t="s">
        <v>22</v>
      </c>
    </row>
    <row r="177" spans="1:12" x14ac:dyDescent="0.35">
      <c r="A177">
        <v>176</v>
      </c>
      <c r="B177" t="s">
        <v>17</v>
      </c>
      <c r="C177" s="1">
        <v>6.6</v>
      </c>
      <c r="D177">
        <v>77.5</v>
      </c>
      <c r="E177" s="1">
        <v>6.9</v>
      </c>
      <c r="F177" t="s">
        <v>13</v>
      </c>
      <c r="G177" s="2" t="s">
        <v>14</v>
      </c>
      <c r="H177" s="2" t="s">
        <v>14</v>
      </c>
      <c r="I177" t="s">
        <v>15</v>
      </c>
      <c r="J177">
        <v>56</v>
      </c>
      <c r="K177" s="1">
        <v>89.7</v>
      </c>
      <c r="L177" t="s">
        <v>20</v>
      </c>
    </row>
    <row r="178" spans="1:12" x14ac:dyDescent="0.35">
      <c r="A178">
        <v>177</v>
      </c>
      <c r="B178" t="s">
        <v>12</v>
      </c>
      <c r="C178" s="1">
        <v>4.8</v>
      </c>
      <c r="D178">
        <v>60.8</v>
      </c>
      <c r="E178" s="1">
        <v>5.7</v>
      </c>
      <c r="F178" t="s">
        <v>18</v>
      </c>
      <c r="G178" s="2" t="s">
        <v>14</v>
      </c>
      <c r="H178" s="2" t="s">
        <v>14</v>
      </c>
      <c r="I178" t="s">
        <v>15</v>
      </c>
      <c r="J178">
        <v>65</v>
      </c>
      <c r="K178" s="1">
        <v>89.2</v>
      </c>
      <c r="L178" t="s">
        <v>20</v>
      </c>
    </row>
    <row r="179" spans="1:12" x14ac:dyDescent="0.35">
      <c r="A179">
        <v>178</v>
      </c>
      <c r="B179" t="s">
        <v>12</v>
      </c>
      <c r="C179" s="1">
        <v>3</v>
      </c>
      <c r="D179">
        <v>93.8</v>
      </c>
      <c r="E179" s="1">
        <v>7.1</v>
      </c>
      <c r="F179" t="s">
        <v>18</v>
      </c>
      <c r="G179" s="2" t="s">
        <v>15</v>
      </c>
      <c r="H179" s="2" t="s">
        <v>14</v>
      </c>
      <c r="I179" t="s">
        <v>15</v>
      </c>
      <c r="J179">
        <v>70.400000000000006</v>
      </c>
      <c r="K179" s="1">
        <v>81.7</v>
      </c>
      <c r="L179" t="s">
        <v>20</v>
      </c>
    </row>
    <row r="180" spans="1:12" x14ac:dyDescent="0.35">
      <c r="A180">
        <v>179</v>
      </c>
      <c r="B180" t="s">
        <v>12</v>
      </c>
      <c r="C180" s="1">
        <v>5.3</v>
      </c>
      <c r="D180">
        <v>92.4</v>
      </c>
      <c r="E180" s="1">
        <v>5.7</v>
      </c>
      <c r="F180" t="s">
        <v>19</v>
      </c>
      <c r="G180" s="2" t="s">
        <v>14</v>
      </c>
      <c r="H180" s="2" t="s">
        <v>15</v>
      </c>
      <c r="I180" t="s">
        <v>15</v>
      </c>
      <c r="J180">
        <v>87.5</v>
      </c>
      <c r="K180" s="1">
        <v>96.7</v>
      </c>
      <c r="L180" t="s">
        <v>16</v>
      </c>
    </row>
    <row r="181" spans="1:12" x14ac:dyDescent="0.35">
      <c r="A181">
        <v>180</v>
      </c>
      <c r="B181" t="s">
        <v>12</v>
      </c>
      <c r="C181" s="1">
        <v>2.9</v>
      </c>
      <c r="D181">
        <v>82.2</v>
      </c>
      <c r="E181" s="1">
        <v>6.3</v>
      </c>
      <c r="F181" t="s">
        <v>24</v>
      </c>
      <c r="G181" s="2" t="s">
        <v>14</v>
      </c>
      <c r="H181" s="2" t="s">
        <v>15</v>
      </c>
      <c r="I181" t="s">
        <v>15</v>
      </c>
      <c r="J181">
        <v>66.5</v>
      </c>
      <c r="K181" s="1">
        <v>73.7</v>
      </c>
      <c r="L181" t="s">
        <v>22</v>
      </c>
    </row>
    <row r="182" spans="1:12" x14ac:dyDescent="0.35">
      <c r="A182">
        <v>181</v>
      </c>
      <c r="B182" t="s">
        <v>12</v>
      </c>
      <c r="C182" s="1">
        <v>0.5</v>
      </c>
      <c r="D182">
        <v>85.7</v>
      </c>
      <c r="E182" s="1">
        <v>5.6</v>
      </c>
      <c r="F182" t="s">
        <v>19</v>
      </c>
      <c r="G182" s="2" t="s">
        <v>14</v>
      </c>
      <c r="H182" s="2" t="s">
        <v>15</v>
      </c>
      <c r="I182" t="s">
        <v>15</v>
      </c>
      <c r="J182">
        <v>82.9</v>
      </c>
      <c r="K182" s="1">
        <v>77.099999999999994</v>
      </c>
      <c r="L182" t="s">
        <v>22</v>
      </c>
    </row>
    <row r="183" spans="1:12" x14ac:dyDescent="0.35">
      <c r="A183">
        <v>182</v>
      </c>
      <c r="B183" t="s">
        <v>12</v>
      </c>
      <c r="C183" s="1">
        <v>2</v>
      </c>
      <c r="D183">
        <v>90.2</v>
      </c>
      <c r="E183" s="1">
        <v>7.6</v>
      </c>
      <c r="F183" t="s">
        <v>19</v>
      </c>
      <c r="G183" s="2" t="s">
        <v>14</v>
      </c>
      <c r="H183" s="2" t="s">
        <v>15</v>
      </c>
      <c r="I183" t="s">
        <v>14</v>
      </c>
      <c r="J183">
        <v>87.1</v>
      </c>
      <c r="K183" s="1">
        <v>76.5</v>
      </c>
      <c r="L183" t="s">
        <v>22</v>
      </c>
    </row>
    <row r="184" spans="1:12" x14ac:dyDescent="0.35">
      <c r="A184">
        <v>183</v>
      </c>
      <c r="B184" t="s">
        <v>17</v>
      </c>
      <c r="C184" s="1">
        <v>0.7</v>
      </c>
      <c r="D184">
        <v>69.400000000000006</v>
      </c>
      <c r="E184" s="1">
        <v>7.8</v>
      </c>
      <c r="F184" t="s">
        <v>18</v>
      </c>
      <c r="G184" s="2" t="s">
        <v>14</v>
      </c>
      <c r="H184" s="2" t="s">
        <v>15</v>
      </c>
      <c r="I184" t="s">
        <v>15</v>
      </c>
      <c r="J184">
        <v>87.2</v>
      </c>
      <c r="K184" s="1">
        <v>73.2</v>
      </c>
      <c r="L184" t="s">
        <v>22</v>
      </c>
    </row>
    <row r="185" spans="1:12" x14ac:dyDescent="0.35">
      <c r="A185">
        <v>184</v>
      </c>
      <c r="B185" t="s">
        <v>12</v>
      </c>
      <c r="C185" s="1">
        <v>3</v>
      </c>
      <c r="D185">
        <v>79.7</v>
      </c>
      <c r="E185" s="1">
        <v>6.5</v>
      </c>
      <c r="F185" t="s">
        <v>13</v>
      </c>
      <c r="G185" s="2" t="s">
        <v>14</v>
      </c>
      <c r="H185" s="2" t="s">
        <v>15</v>
      </c>
      <c r="I185" t="s">
        <v>15</v>
      </c>
      <c r="J185">
        <v>73.400000000000006</v>
      </c>
      <c r="K185" s="1">
        <v>83.6</v>
      </c>
      <c r="L185" t="s">
        <v>20</v>
      </c>
    </row>
    <row r="186" spans="1:12" x14ac:dyDescent="0.35">
      <c r="A186">
        <v>185</v>
      </c>
      <c r="B186" t="s">
        <v>12</v>
      </c>
      <c r="C186" s="1">
        <v>3.5</v>
      </c>
      <c r="D186">
        <v>92.9</v>
      </c>
      <c r="E186" s="1">
        <v>6.8</v>
      </c>
      <c r="F186" t="s">
        <v>23</v>
      </c>
      <c r="G186" s="2" t="s">
        <v>14</v>
      </c>
      <c r="H186" s="2" t="s">
        <v>15</v>
      </c>
      <c r="I186" t="s">
        <v>15</v>
      </c>
      <c r="J186">
        <v>46.4</v>
      </c>
      <c r="K186" s="1">
        <v>85.8</v>
      </c>
      <c r="L186" t="s">
        <v>20</v>
      </c>
    </row>
    <row r="187" spans="1:12" x14ac:dyDescent="0.35">
      <c r="A187">
        <v>186</v>
      </c>
      <c r="B187" t="s">
        <v>12</v>
      </c>
      <c r="C187" s="1">
        <v>6</v>
      </c>
      <c r="D187">
        <v>72.5</v>
      </c>
      <c r="E187" s="1">
        <v>5.0999999999999996</v>
      </c>
      <c r="F187" t="s">
        <v>13</v>
      </c>
      <c r="G187" s="2" t="s">
        <v>14</v>
      </c>
      <c r="H187" s="2" t="s">
        <v>15</v>
      </c>
      <c r="I187" t="s">
        <v>15</v>
      </c>
      <c r="J187">
        <v>75.5</v>
      </c>
      <c r="K187" s="1">
        <v>95.7</v>
      </c>
      <c r="L187" t="s">
        <v>16</v>
      </c>
    </row>
    <row r="188" spans="1:12" x14ac:dyDescent="0.35">
      <c r="A188">
        <v>187</v>
      </c>
      <c r="B188" t="s">
        <v>17</v>
      </c>
      <c r="C188" s="1">
        <v>4</v>
      </c>
      <c r="D188">
        <v>87.9</v>
      </c>
      <c r="E188" s="1">
        <v>6.4</v>
      </c>
      <c r="F188" t="s">
        <v>13</v>
      </c>
      <c r="G188" s="2" t="s">
        <v>14</v>
      </c>
      <c r="H188" s="2" t="s">
        <v>14</v>
      </c>
      <c r="I188" t="s">
        <v>15</v>
      </c>
      <c r="J188">
        <v>82.6</v>
      </c>
      <c r="K188" s="1">
        <v>89.2</v>
      </c>
      <c r="L188" t="s">
        <v>20</v>
      </c>
    </row>
    <row r="189" spans="1:12" x14ac:dyDescent="0.35">
      <c r="A189">
        <v>188</v>
      </c>
      <c r="B189" t="s">
        <v>12</v>
      </c>
      <c r="C189" s="1">
        <v>3.2</v>
      </c>
      <c r="D189">
        <v>71.400000000000006</v>
      </c>
      <c r="E189" s="1">
        <v>6.7</v>
      </c>
      <c r="F189" t="s">
        <v>13</v>
      </c>
      <c r="G189" s="2" t="s">
        <v>14</v>
      </c>
      <c r="H189" s="2" t="s">
        <v>14</v>
      </c>
      <c r="I189" t="s">
        <v>14</v>
      </c>
      <c r="J189">
        <v>69</v>
      </c>
      <c r="K189" s="1">
        <v>83.1</v>
      </c>
      <c r="L189" t="s">
        <v>20</v>
      </c>
    </row>
    <row r="190" spans="1:12" x14ac:dyDescent="0.35">
      <c r="A190">
        <v>189</v>
      </c>
      <c r="B190" t="s">
        <v>12</v>
      </c>
      <c r="C190" s="1">
        <v>4.7</v>
      </c>
      <c r="D190">
        <v>89.7</v>
      </c>
      <c r="E190" s="1">
        <v>9.9</v>
      </c>
      <c r="F190" t="s">
        <v>13</v>
      </c>
      <c r="G190" s="2" t="s">
        <v>14</v>
      </c>
      <c r="H190" s="2" t="s">
        <v>14</v>
      </c>
      <c r="I190" t="s">
        <v>15</v>
      </c>
      <c r="J190">
        <v>90.9</v>
      </c>
      <c r="K190" s="1">
        <v>100</v>
      </c>
      <c r="L190" t="s">
        <v>16</v>
      </c>
    </row>
    <row r="191" spans="1:12" x14ac:dyDescent="0.35">
      <c r="A191">
        <v>190</v>
      </c>
      <c r="B191" t="s">
        <v>17</v>
      </c>
      <c r="C191" s="1">
        <v>0.5</v>
      </c>
      <c r="D191">
        <v>84.6</v>
      </c>
      <c r="E191" s="1">
        <v>5.5</v>
      </c>
      <c r="F191" t="s">
        <v>13</v>
      </c>
      <c r="G191" s="2" t="s">
        <v>14</v>
      </c>
      <c r="H191" s="2" t="s">
        <v>14</v>
      </c>
      <c r="I191" t="s">
        <v>15</v>
      </c>
      <c r="J191">
        <v>80.3</v>
      </c>
      <c r="K191" s="1">
        <v>67.2</v>
      </c>
      <c r="L191" t="s">
        <v>21</v>
      </c>
    </row>
    <row r="192" spans="1:12" x14ac:dyDescent="0.35">
      <c r="A192">
        <v>191</v>
      </c>
      <c r="B192" t="s">
        <v>12</v>
      </c>
      <c r="C192" s="1">
        <v>3.9</v>
      </c>
      <c r="D192">
        <v>68.8</v>
      </c>
      <c r="E192" s="1">
        <v>8.6</v>
      </c>
      <c r="F192" t="s">
        <v>18</v>
      </c>
      <c r="G192" s="2" t="s">
        <v>14</v>
      </c>
      <c r="H192" s="2" t="s">
        <v>15</v>
      </c>
      <c r="I192" t="s">
        <v>15</v>
      </c>
      <c r="J192">
        <v>76.8</v>
      </c>
      <c r="K192" s="1">
        <v>84.6</v>
      </c>
      <c r="L192" t="s">
        <v>20</v>
      </c>
    </row>
    <row r="193" spans="1:12" x14ac:dyDescent="0.35">
      <c r="A193">
        <v>192</v>
      </c>
      <c r="B193" t="s">
        <v>12</v>
      </c>
      <c r="C193" s="1">
        <v>4.7</v>
      </c>
      <c r="D193">
        <v>96.6</v>
      </c>
      <c r="E193" s="1">
        <v>8</v>
      </c>
      <c r="F193" t="s">
        <v>13</v>
      </c>
      <c r="G193" s="2" t="s">
        <v>14</v>
      </c>
      <c r="H193" s="2" t="s">
        <v>14</v>
      </c>
      <c r="I193" t="s">
        <v>14</v>
      </c>
      <c r="J193">
        <v>83</v>
      </c>
      <c r="K193" s="1">
        <v>100</v>
      </c>
      <c r="L193" t="s">
        <v>16</v>
      </c>
    </row>
    <row r="194" spans="1:12" x14ac:dyDescent="0.35">
      <c r="A194">
        <v>193</v>
      </c>
      <c r="B194" t="s">
        <v>12</v>
      </c>
      <c r="C194" s="1">
        <v>1.3</v>
      </c>
      <c r="D194">
        <v>77.7</v>
      </c>
      <c r="E194" s="1">
        <v>7.1</v>
      </c>
      <c r="F194" t="s">
        <v>13</v>
      </c>
      <c r="G194" s="2" t="s">
        <v>14</v>
      </c>
      <c r="H194" s="2" t="s">
        <v>15</v>
      </c>
      <c r="I194" t="s">
        <v>15</v>
      </c>
      <c r="J194">
        <v>74</v>
      </c>
      <c r="K194" s="1">
        <v>75.2</v>
      </c>
      <c r="L194" t="s">
        <v>22</v>
      </c>
    </row>
    <row r="195" spans="1:12" x14ac:dyDescent="0.35">
      <c r="A195">
        <v>194</v>
      </c>
      <c r="B195" t="s">
        <v>12</v>
      </c>
      <c r="C195" s="1">
        <v>5.2</v>
      </c>
      <c r="D195">
        <v>76.900000000000006</v>
      </c>
      <c r="E195" s="1">
        <v>8.9</v>
      </c>
      <c r="F195" t="s">
        <v>13</v>
      </c>
      <c r="G195" s="2" t="s">
        <v>14</v>
      </c>
      <c r="H195" s="2" t="s">
        <v>14</v>
      </c>
      <c r="I195" t="s">
        <v>15</v>
      </c>
      <c r="J195">
        <v>40.1</v>
      </c>
      <c r="K195" s="1">
        <v>81.099999999999994</v>
      </c>
      <c r="L195" t="s">
        <v>20</v>
      </c>
    </row>
    <row r="196" spans="1:12" x14ac:dyDescent="0.35">
      <c r="A196">
        <v>195</v>
      </c>
      <c r="B196" t="s">
        <v>12</v>
      </c>
      <c r="C196" s="1">
        <v>4</v>
      </c>
      <c r="D196">
        <v>87</v>
      </c>
      <c r="E196" s="1">
        <v>7.2</v>
      </c>
      <c r="F196" t="s">
        <v>18</v>
      </c>
      <c r="G196" s="2" t="s">
        <v>14</v>
      </c>
      <c r="H196" s="2" t="s">
        <v>14</v>
      </c>
      <c r="I196" t="s">
        <v>15</v>
      </c>
      <c r="J196">
        <v>64</v>
      </c>
      <c r="K196" s="1">
        <v>96.5</v>
      </c>
      <c r="L196" t="s">
        <v>16</v>
      </c>
    </row>
    <row r="197" spans="1:12" x14ac:dyDescent="0.35">
      <c r="A197">
        <v>196</v>
      </c>
      <c r="B197" t="s">
        <v>17</v>
      </c>
      <c r="C197" s="1">
        <v>2.9</v>
      </c>
      <c r="D197">
        <v>96.5</v>
      </c>
      <c r="E197" s="1">
        <v>7.3</v>
      </c>
      <c r="F197" t="s">
        <v>23</v>
      </c>
      <c r="G197" s="2" t="s">
        <v>15</v>
      </c>
      <c r="H197" s="2" t="s">
        <v>14</v>
      </c>
      <c r="I197" t="s">
        <v>15</v>
      </c>
      <c r="J197">
        <v>84.4</v>
      </c>
      <c r="K197" s="1">
        <v>79.8</v>
      </c>
      <c r="L197" t="s">
        <v>22</v>
      </c>
    </row>
    <row r="198" spans="1:12" x14ac:dyDescent="0.35">
      <c r="A198">
        <v>197</v>
      </c>
      <c r="B198" t="s">
        <v>17</v>
      </c>
      <c r="C198" s="1">
        <v>4.4000000000000004</v>
      </c>
      <c r="D198">
        <v>74.8</v>
      </c>
      <c r="E198" s="1">
        <v>6.7</v>
      </c>
      <c r="F198" t="s">
        <v>18</v>
      </c>
      <c r="G198" s="2" t="s">
        <v>14</v>
      </c>
      <c r="H198" s="2" t="s">
        <v>15</v>
      </c>
      <c r="I198" t="s">
        <v>15</v>
      </c>
      <c r="J198">
        <v>60.3</v>
      </c>
      <c r="K198" s="1">
        <v>73.400000000000006</v>
      </c>
      <c r="L198" t="s">
        <v>22</v>
      </c>
    </row>
    <row r="199" spans="1:12" x14ac:dyDescent="0.35">
      <c r="A199">
        <v>198</v>
      </c>
      <c r="B199" t="s">
        <v>17</v>
      </c>
      <c r="C199" s="1">
        <v>6.9</v>
      </c>
      <c r="D199">
        <v>85.6</v>
      </c>
      <c r="E199" s="1">
        <v>8.3000000000000007</v>
      </c>
      <c r="F199" t="s">
        <v>13</v>
      </c>
      <c r="G199" s="2" t="s">
        <v>14</v>
      </c>
      <c r="H199" s="2" t="s">
        <v>14</v>
      </c>
      <c r="I199" t="s">
        <v>15</v>
      </c>
      <c r="J199">
        <v>67.3</v>
      </c>
      <c r="K199" s="1">
        <v>92.2</v>
      </c>
      <c r="L199" t="s">
        <v>16</v>
      </c>
    </row>
    <row r="200" spans="1:12" x14ac:dyDescent="0.35">
      <c r="A200">
        <v>199</v>
      </c>
      <c r="B200" t="s">
        <v>12</v>
      </c>
      <c r="C200" s="1">
        <v>3.8</v>
      </c>
      <c r="D200">
        <v>89.3</v>
      </c>
      <c r="E200" s="1">
        <v>8.1</v>
      </c>
      <c r="F200" t="s">
        <v>23</v>
      </c>
      <c r="G200" s="2" t="s">
        <v>14</v>
      </c>
      <c r="H200" s="2" t="s">
        <v>14</v>
      </c>
      <c r="I200" t="s">
        <v>15</v>
      </c>
      <c r="J200">
        <v>57.5</v>
      </c>
      <c r="K200" s="1">
        <v>87.3</v>
      </c>
      <c r="L200" t="s">
        <v>20</v>
      </c>
    </row>
    <row r="201" spans="1:12" x14ac:dyDescent="0.35">
      <c r="A201">
        <v>200</v>
      </c>
      <c r="B201" t="s">
        <v>12</v>
      </c>
      <c r="C201" s="1">
        <v>3.9</v>
      </c>
      <c r="D201">
        <v>91.9</v>
      </c>
      <c r="E201" s="1">
        <v>6</v>
      </c>
      <c r="F201" t="s">
        <v>13</v>
      </c>
      <c r="G201" s="2" t="s">
        <v>15</v>
      </c>
      <c r="H201" s="2" t="s">
        <v>15</v>
      </c>
      <c r="I201" t="s">
        <v>15</v>
      </c>
      <c r="J201">
        <v>91.4</v>
      </c>
      <c r="K201" s="1">
        <v>92.5</v>
      </c>
      <c r="L201" t="s">
        <v>16</v>
      </c>
    </row>
    <row r="202" spans="1:12" x14ac:dyDescent="0.35">
      <c r="A202">
        <v>201</v>
      </c>
      <c r="B202" t="s">
        <v>12</v>
      </c>
      <c r="C202" s="1">
        <v>2.8</v>
      </c>
      <c r="D202">
        <v>86.8</v>
      </c>
      <c r="E202" s="1">
        <v>5.2</v>
      </c>
      <c r="F202" t="s">
        <v>18</v>
      </c>
      <c r="G202" s="2" t="s">
        <v>14</v>
      </c>
      <c r="H202" s="2" t="s">
        <v>15</v>
      </c>
      <c r="I202" t="s">
        <v>14</v>
      </c>
      <c r="J202">
        <v>90.2</v>
      </c>
      <c r="K202" s="1">
        <v>94.6</v>
      </c>
      <c r="L202" t="s">
        <v>16</v>
      </c>
    </row>
    <row r="203" spans="1:12" x14ac:dyDescent="0.35">
      <c r="A203">
        <v>202</v>
      </c>
      <c r="B203" t="s">
        <v>17</v>
      </c>
      <c r="C203" s="1">
        <v>2.2000000000000002</v>
      </c>
      <c r="D203">
        <v>81.3</v>
      </c>
      <c r="E203" s="1">
        <v>6.6</v>
      </c>
      <c r="F203" t="s">
        <v>23</v>
      </c>
      <c r="G203" s="2" t="s">
        <v>14</v>
      </c>
      <c r="H203" s="2" t="s">
        <v>14</v>
      </c>
      <c r="I203" t="s">
        <v>15</v>
      </c>
      <c r="J203">
        <v>59.4</v>
      </c>
      <c r="K203" s="1">
        <v>75.5</v>
      </c>
      <c r="L203" t="s">
        <v>22</v>
      </c>
    </row>
    <row r="204" spans="1:12" x14ac:dyDescent="0.35">
      <c r="A204">
        <v>203</v>
      </c>
      <c r="B204" t="s">
        <v>12</v>
      </c>
      <c r="C204" s="1">
        <v>4.7</v>
      </c>
      <c r="D204">
        <v>76.7</v>
      </c>
      <c r="E204" s="1">
        <v>5.8</v>
      </c>
      <c r="F204" t="s">
        <v>13</v>
      </c>
      <c r="G204" s="2" t="s">
        <v>14</v>
      </c>
      <c r="H204" s="2" t="s">
        <v>14</v>
      </c>
      <c r="I204" t="s">
        <v>15</v>
      </c>
      <c r="J204">
        <v>71.8</v>
      </c>
      <c r="K204" s="1">
        <v>85.3</v>
      </c>
      <c r="L204" t="s">
        <v>20</v>
      </c>
    </row>
    <row r="205" spans="1:12" x14ac:dyDescent="0.35">
      <c r="A205">
        <v>204</v>
      </c>
      <c r="B205" t="s">
        <v>12</v>
      </c>
      <c r="C205" s="1">
        <v>2.2000000000000002</v>
      </c>
      <c r="D205">
        <v>85.9</v>
      </c>
      <c r="E205" s="1">
        <v>6.7</v>
      </c>
      <c r="F205" t="s">
        <v>23</v>
      </c>
      <c r="G205" s="2" t="s">
        <v>14</v>
      </c>
      <c r="H205" s="2" t="s">
        <v>14</v>
      </c>
      <c r="I205" t="s">
        <v>15</v>
      </c>
      <c r="J205">
        <v>61.8</v>
      </c>
      <c r="K205" s="1">
        <v>76.7</v>
      </c>
      <c r="L205" t="s">
        <v>22</v>
      </c>
    </row>
    <row r="206" spans="1:12" x14ac:dyDescent="0.35">
      <c r="A206">
        <v>205</v>
      </c>
      <c r="B206" t="s">
        <v>17</v>
      </c>
      <c r="C206" s="1">
        <v>3.6</v>
      </c>
      <c r="D206">
        <v>74.3</v>
      </c>
      <c r="E206" s="1">
        <v>8.3000000000000007</v>
      </c>
      <c r="F206" t="s">
        <v>23</v>
      </c>
      <c r="G206" s="2" t="s">
        <v>14</v>
      </c>
      <c r="H206" s="2" t="s">
        <v>15</v>
      </c>
      <c r="I206" t="s">
        <v>15</v>
      </c>
      <c r="J206">
        <v>77.400000000000006</v>
      </c>
      <c r="K206" s="1">
        <v>86.8</v>
      </c>
      <c r="L206" t="s">
        <v>20</v>
      </c>
    </row>
    <row r="207" spans="1:12" x14ac:dyDescent="0.35">
      <c r="A207">
        <v>206</v>
      </c>
      <c r="B207" t="s">
        <v>12</v>
      </c>
      <c r="C207" s="1">
        <v>2.8</v>
      </c>
      <c r="D207">
        <v>55.8</v>
      </c>
      <c r="E207" s="1">
        <v>6.3</v>
      </c>
      <c r="F207" t="s">
        <v>13</v>
      </c>
      <c r="G207" s="2" t="s">
        <v>14</v>
      </c>
      <c r="H207" s="2" t="s">
        <v>14</v>
      </c>
      <c r="I207" t="s">
        <v>14</v>
      </c>
      <c r="J207">
        <v>76.099999999999994</v>
      </c>
      <c r="K207" s="1">
        <v>61.1</v>
      </c>
      <c r="L207" t="s">
        <v>21</v>
      </c>
    </row>
    <row r="208" spans="1:12" x14ac:dyDescent="0.35">
      <c r="A208">
        <v>207</v>
      </c>
      <c r="B208" t="s">
        <v>17</v>
      </c>
      <c r="C208" s="1">
        <v>4.2</v>
      </c>
      <c r="D208">
        <v>89.4</v>
      </c>
      <c r="E208" s="1">
        <v>6.7</v>
      </c>
      <c r="F208" t="s">
        <v>13</v>
      </c>
      <c r="G208" s="2" t="s">
        <v>14</v>
      </c>
      <c r="H208" s="2" t="s">
        <v>14</v>
      </c>
      <c r="I208" t="s">
        <v>14</v>
      </c>
      <c r="J208">
        <v>79.7</v>
      </c>
      <c r="K208" s="1">
        <v>100</v>
      </c>
      <c r="L208" t="s">
        <v>16</v>
      </c>
    </row>
    <row r="209" spans="1:12" x14ac:dyDescent="0.35">
      <c r="A209">
        <v>208</v>
      </c>
      <c r="B209" t="s">
        <v>17</v>
      </c>
      <c r="C209" s="1">
        <v>4</v>
      </c>
      <c r="D209">
        <v>94</v>
      </c>
      <c r="E209" s="1">
        <v>6.9</v>
      </c>
      <c r="F209" t="s">
        <v>18</v>
      </c>
      <c r="G209" s="2" t="s">
        <v>15</v>
      </c>
      <c r="H209" s="2" t="s">
        <v>14</v>
      </c>
      <c r="I209" t="s">
        <v>15</v>
      </c>
      <c r="J209">
        <v>74</v>
      </c>
      <c r="K209" s="1">
        <v>90.9</v>
      </c>
      <c r="L209" t="s">
        <v>16</v>
      </c>
    </row>
    <row r="210" spans="1:12" x14ac:dyDescent="0.35">
      <c r="A210">
        <v>209</v>
      </c>
      <c r="B210" t="s">
        <v>17</v>
      </c>
      <c r="C210" s="1">
        <v>5.0999999999999996</v>
      </c>
      <c r="D210">
        <v>61.4</v>
      </c>
      <c r="E210" s="1">
        <v>7.8</v>
      </c>
      <c r="F210" t="s">
        <v>18</v>
      </c>
      <c r="G210" s="2" t="s">
        <v>14</v>
      </c>
      <c r="H210" s="2" t="s">
        <v>14</v>
      </c>
      <c r="I210" t="s">
        <v>14</v>
      </c>
      <c r="J210">
        <v>100</v>
      </c>
      <c r="K210" s="1">
        <v>96.1</v>
      </c>
      <c r="L210" t="s">
        <v>16</v>
      </c>
    </row>
    <row r="211" spans="1:12" x14ac:dyDescent="0.35">
      <c r="A211">
        <v>210</v>
      </c>
      <c r="B211" t="s">
        <v>12</v>
      </c>
      <c r="C211" s="1">
        <v>2.7</v>
      </c>
      <c r="D211">
        <v>74.900000000000006</v>
      </c>
      <c r="E211" s="1">
        <v>4.0999999999999996</v>
      </c>
      <c r="F211" t="s">
        <v>13</v>
      </c>
      <c r="G211" s="2" t="s">
        <v>14</v>
      </c>
      <c r="H211" s="2" t="s">
        <v>15</v>
      </c>
      <c r="I211" t="s">
        <v>15</v>
      </c>
      <c r="J211">
        <v>57.7</v>
      </c>
      <c r="K211" s="1">
        <v>73.099999999999994</v>
      </c>
      <c r="L211" t="s">
        <v>22</v>
      </c>
    </row>
    <row r="212" spans="1:12" x14ac:dyDescent="0.35">
      <c r="A212">
        <v>211</v>
      </c>
      <c r="B212" t="s">
        <v>12</v>
      </c>
      <c r="C212" s="1">
        <v>3.1</v>
      </c>
      <c r="D212">
        <v>91.2</v>
      </c>
      <c r="E212" s="1">
        <v>6.1</v>
      </c>
      <c r="F212" t="s">
        <v>13</v>
      </c>
      <c r="G212" s="2" t="s">
        <v>14</v>
      </c>
      <c r="H212" s="2" t="s">
        <v>14</v>
      </c>
      <c r="I212" t="s">
        <v>15</v>
      </c>
      <c r="J212">
        <v>49.5</v>
      </c>
      <c r="K212" s="1">
        <v>81.2</v>
      </c>
      <c r="L212" t="s">
        <v>20</v>
      </c>
    </row>
    <row r="213" spans="1:12" x14ac:dyDescent="0.35">
      <c r="A213">
        <v>212</v>
      </c>
      <c r="B213" t="s">
        <v>12</v>
      </c>
      <c r="C213" s="1">
        <v>2</v>
      </c>
      <c r="D213">
        <v>100</v>
      </c>
      <c r="E213" s="1">
        <v>7.1</v>
      </c>
      <c r="F213" t="s">
        <v>13</v>
      </c>
      <c r="G213" s="2" t="s">
        <v>14</v>
      </c>
      <c r="H213" s="2" t="s">
        <v>14</v>
      </c>
      <c r="I213" t="s">
        <v>15</v>
      </c>
      <c r="J213">
        <v>65.3</v>
      </c>
      <c r="K213" s="1">
        <v>81.8</v>
      </c>
      <c r="L213" t="s">
        <v>20</v>
      </c>
    </row>
    <row r="214" spans="1:12" x14ac:dyDescent="0.35">
      <c r="A214">
        <v>213</v>
      </c>
      <c r="B214" t="s">
        <v>12</v>
      </c>
      <c r="C214" s="1">
        <v>2.8</v>
      </c>
      <c r="D214">
        <v>85.2</v>
      </c>
      <c r="E214" s="1">
        <v>8.1999999999999993</v>
      </c>
      <c r="F214" t="s">
        <v>18</v>
      </c>
      <c r="G214" s="2" t="s">
        <v>14</v>
      </c>
      <c r="H214" s="2" t="s">
        <v>14</v>
      </c>
      <c r="I214" t="s">
        <v>14</v>
      </c>
      <c r="J214">
        <v>51.2</v>
      </c>
      <c r="K214" s="1">
        <v>70</v>
      </c>
      <c r="L214" t="s">
        <v>22</v>
      </c>
    </row>
    <row r="215" spans="1:12" x14ac:dyDescent="0.35">
      <c r="A215">
        <v>214</v>
      </c>
      <c r="B215" t="s">
        <v>12</v>
      </c>
      <c r="C215" s="1">
        <v>4.0999999999999996</v>
      </c>
      <c r="D215">
        <v>77.7</v>
      </c>
      <c r="E215" s="1">
        <v>6.2</v>
      </c>
      <c r="F215" t="s">
        <v>18</v>
      </c>
      <c r="G215" s="2" t="s">
        <v>14</v>
      </c>
      <c r="H215" s="2" t="s">
        <v>14</v>
      </c>
      <c r="I215" t="s">
        <v>14</v>
      </c>
      <c r="J215">
        <v>52.1</v>
      </c>
      <c r="K215" s="1">
        <v>78.5</v>
      </c>
      <c r="L215" t="s">
        <v>22</v>
      </c>
    </row>
    <row r="216" spans="1:12" x14ac:dyDescent="0.35">
      <c r="A216">
        <v>215</v>
      </c>
      <c r="B216" t="s">
        <v>12</v>
      </c>
      <c r="C216" s="1">
        <v>4.5999999999999996</v>
      </c>
      <c r="D216">
        <v>83.2</v>
      </c>
      <c r="E216" s="1">
        <v>4.5</v>
      </c>
      <c r="F216" t="s">
        <v>13</v>
      </c>
      <c r="G216" s="2" t="s">
        <v>14</v>
      </c>
      <c r="H216" s="2" t="s">
        <v>14</v>
      </c>
      <c r="I216" t="s">
        <v>15</v>
      </c>
      <c r="J216">
        <v>58</v>
      </c>
      <c r="K216" s="1">
        <v>84.7</v>
      </c>
      <c r="L216" t="s">
        <v>20</v>
      </c>
    </row>
    <row r="217" spans="1:12" x14ac:dyDescent="0.35">
      <c r="A217">
        <v>216</v>
      </c>
      <c r="B217" t="s">
        <v>12</v>
      </c>
      <c r="C217" s="1">
        <v>2.1</v>
      </c>
      <c r="D217">
        <v>98.7</v>
      </c>
      <c r="E217" s="1">
        <v>7.5</v>
      </c>
      <c r="F217" t="s">
        <v>18</v>
      </c>
      <c r="G217" s="2" t="s">
        <v>14</v>
      </c>
      <c r="H217" s="2" t="s">
        <v>15</v>
      </c>
      <c r="I217" t="s">
        <v>15</v>
      </c>
      <c r="J217">
        <v>58.9</v>
      </c>
      <c r="K217" s="1">
        <v>74.7</v>
      </c>
      <c r="L217" t="s">
        <v>22</v>
      </c>
    </row>
    <row r="218" spans="1:12" x14ac:dyDescent="0.35">
      <c r="A218">
        <v>217</v>
      </c>
      <c r="B218" t="s">
        <v>17</v>
      </c>
      <c r="C218" s="1">
        <v>4.8</v>
      </c>
      <c r="D218">
        <v>78.5</v>
      </c>
      <c r="E218" s="1">
        <v>6</v>
      </c>
      <c r="F218" t="s">
        <v>23</v>
      </c>
      <c r="G218" s="2" t="s">
        <v>14</v>
      </c>
      <c r="H218" s="2" t="s">
        <v>15</v>
      </c>
      <c r="I218" t="s">
        <v>15</v>
      </c>
      <c r="J218">
        <v>58.5</v>
      </c>
      <c r="K218" s="1">
        <v>91.2</v>
      </c>
      <c r="L218" t="s">
        <v>16</v>
      </c>
    </row>
    <row r="219" spans="1:12" x14ac:dyDescent="0.35">
      <c r="A219">
        <v>218</v>
      </c>
      <c r="B219" t="s">
        <v>12</v>
      </c>
      <c r="C219" s="1">
        <v>5.5</v>
      </c>
      <c r="D219">
        <v>77</v>
      </c>
      <c r="E219" s="1">
        <v>5.4</v>
      </c>
      <c r="F219" t="s">
        <v>18</v>
      </c>
      <c r="G219" s="2" t="s">
        <v>14</v>
      </c>
      <c r="H219" s="2" t="s">
        <v>15</v>
      </c>
      <c r="I219" t="s">
        <v>15</v>
      </c>
      <c r="J219">
        <v>76.2</v>
      </c>
      <c r="K219" s="1">
        <v>93.4</v>
      </c>
      <c r="L219" t="s">
        <v>16</v>
      </c>
    </row>
    <row r="220" spans="1:12" x14ac:dyDescent="0.35">
      <c r="A220">
        <v>219</v>
      </c>
      <c r="B220" t="s">
        <v>17</v>
      </c>
      <c r="C220" s="1">
        <v>4.0999999999999996</v>
      </c>
      <c r="D220">
        <v>80.2</v>
      </c>
      <c r="E220" s="1">
        <v>6.1</v>
      </c>
      <c r="F220" t="s">
        <v>13</v>
      </c>
      <c r="G220" s="2" t="s">
        <v>14</v>
      </c>
      <c r="H220" s="2" t="s">
        <v>15</v>
      </c>
      <c r="I220" t="s">
        <v>15</v>
      </c>
      <c r="J220">
        <v>63.9</v>
      </c>
      <c r="K220" s="1">
        <v>86.8</v>
      </c>
      <c r="L220" t="s">
        <v>20</v>
      </c>
    </row>
    <row r="221" spans="1:12" x14ac:dyDescent="0.35">
      <c r="A221">
        <v>220</v>
      </c>
      <c r="B221" t="s">
        <v>12</v>
      </c>
      <c r="C221" s="1">
        <v>6.3</v>
      </c>
      <c r="D221">
        <v>75.5</v>
      </c>
      <c r="E221" s="1">
        <v>6.6</v>
      </c>
      <c r="F221" t="s">
        <v>19</v>
      </c>
      <c r="G221" s="2" t="s">
        <v>14</v>
      </c>
      <c r="H221" s="2" t="s">
        <v>15</v>
      </c>
      <c r="I221" t="s">
        <v>15</v>
      </c>
      <c r="J221">
        <v>67.8</v>
      </c>
      <c r="K221" s="1">
        <v>100</v>
      </c>
      <c r="L221" t="s">
        <v>16</v>
      </c>
    </row>
    <row r="222" spans="1:12" x14ac:dyDescent="0.35">
      <c r="A222">
        <v>221</v>
      </c>
      <c r="B222" t="s">
        <v>12</v>
      </c>
      <c r="C222" s="1">
        <v>2.2999999999999998</v>
      </c>
      <c r="D222">
        <v>86.2</v>
      </c>
      <c r="E222" s="1">
        <v>6.1</v>
      </c>
      <c r="F222" t="s">
        <v>18</v>
      </c>
      <c r="G222" s="2" t="s">
        <v>14</v>
      </c>
      <c r="H222" s="2" t="s">
        <v>14</v>
      </c>
      <c r="I222" t="s">
        <v>15</v>
      </c>
      <c r="J222">
        <v>80.7</v>
      </c>
      <c r="K222" s="1">
        <v>84.3</v>
      </c>
      <c r="L222" t="s">
        <v>20</v>
      </c>
    </row>
    <row r="223" spans="1:12" x14ac:dyDescent="0.35">
      <c r="A223">
        <v>222</v>
      </c>
      <c r="B223" t="s">
        <v>12</v>
      </c>
      <c r="C223" s="1">
        <v>1.6</v>
      </c>
      <c r="D223">
        <v>100</v>
      </c>
      <c r="E223" s="1">
        <v>4.2</v>
      </c>
      <c r="F223" t="s">
        <v>13</v>
      </c>
      <c r="G223" s="2" t="s">
        <v>15</v>
      </c>
      <c r="H223" s="2" t="s">
        <v>15</v>
      </c>
      <c r="I223" t="s">
        <v>15</v>
      </c>
      <c r="J223">
        <v>60.8</v>
      </c>
      <c r="K223" s="1">
        <v>71.5</v>
      </c>
      <c r="L223" t="s">
        <v>22</v>
      </c>
    </row>
    <row r="224" spans="1:12" x14ac:dyDescent="0.35">
      <c r="A224">
        <v>223</v>
      </c>
      <c r="B224" t="s">
        <v>17</v>
      </c>
      <c r="C224" s="1">
        <v>0.8</v>
      </c>
      <c r="D224">
        <v>88.2</v>
      </c>
      <c r="E224" s="1">
        <v>7.9</v>
      </c>
      <c r="F224" t="s">
        <v>18</v>
      </c>
      <c r="G224" s="2" t="s">
        <v>15</v>
      </c>
      <c r="H224" s="2" t="s">
        <v>15</v>
      </c>
      <c r="I224" t="s">
        <v>14</v>
      </c>
      <c r="J224">
        <v>66.8</v>
      </c>
      <c r="K224" s="1">
        <v>70.5</v>
      </c>
      <c r="L224" t="s">
        <v>22</v>
      </c>
    </row>
    <row r="225" spans="1:12" x14ac:dyDescent="0.35">
      <c r="A225">
        <v>224</v>
      </c>
      <c r="B225" t="s">
        <v>17</v>
      </c>
      <c r="C225" s="1">
        <v>5.7</v>
      </c>
      <c r="D225">
        <v>82.5</v>
      </c>
      <c r="E225" s="1">
        <v>8.3000000000000007</v>
      </c>
      <c r="F225" t="s">
        <v>13</v>
      </c>
      <c r="G225" s="2" t="s">
        <v>14</v>
      </c>
      <c r="H225" s="2" t="s">
        <v>15</v>
      </c>
      <c r="I225" t="s">
        <v>14</v>
      </c>
      <c r="J225">
        <v>74.400000000000006</v>
      </c>
      <c r="K225" s="1">
        <v>89.9</v>
      </c>
      <c r="L225" t="s">
        <v>20</v>
      </c>
    </row>
    <row r="226" spans="1:12" x14ac:dyDescent="0.35">
      <c r="A226">
        <v>225</v>
      </c>
      <c r="B226" t="s">
        <v>17</v>
      </c>
      <c r="C226" s="1">
        <v>4.5</v>
      </c>
      <c r="D226">
        <v>82.1</v>
      </c>
      <c r="E226" s="1">
        <v>7.6</v>
      </c>
      <c r="F226" t="s">
        <v>13</v>
      </c>
      <c r="G226" s="2" t="s">
        <v>14</v>
      </c>
      <c r="H226" s="2" t="s">
        <v>14</v>
      </c>
      <c r="I226" t="s">
        <v>15</v>
      </c>
      <c r="J226">
        <v>46.7</v>
      </c>
      <c r="K226" s="1">
        <v>81.099999999999994</v>
      </c>
      <c r="L226" t="s">
        <v>20</v>
      </c>
    </row>
    <row r="227" spans="1:12" x14ac:dyDescent="0.35">
      <c r="A227">
        <v>226</v>
      </c>
      <c r="B227" t="s">
        <v>17</v>
      </c>
      <c r="C227" s="1">
        <v>3.4</v>
      </c>
      <c r="D227">
        <v>69.400000000000006</v>
      </c>
      <c r="E227" s="1">
        <v>5.4</v>
      </c>
      <c r="F227" t="s">
        <v>13</v>
      </c>
      <c r="G227" s="2" t="s">
        <v>14</v>
      </c>
      <c r="H227" s="2" t="s">
        <v>14</v>
      </c>
      <c r="I227" t="s">
        <v>15</v>
      </c>
      <c r="J227">
        <v>41.4</v>
      </c>
      <c r="K227" s="1">
        <v>67.400000000000006</v>
      </c>
      <c r="L227" t="s">
        <v>21</v>
      </c>
    </row>
    <row r="228" spans="1:12" x14ac:dyDescent="0.35">
      <c r="A228">
        <v>227</v>
      </c>
      <c r="B228" t="s">
        <v>12</v>
      </c>
      <c r="C228" s="1">
        <v>3.9</v>
      </c>
      <c r="D228">
        <v>93.8</v>
      </c>
      <c r="E228" s="1">
        <v>6.6</v>
      </c>
      <c r="F228" t="s">
        <v>13</v>
      </c>
      <c r="G228" s="2" t="s">
        <v>14</v>
      </c>
      <c r="H228" s="2" t="s">
        <v>15</v>
      </c>
      <c r="I228" t="s">
        <v>14</v>
      </c>
      <c r="J228">
        <v>74.2</v>
      </c>
      <c r="K228" s="1">
        <v>82.2</v>
      </c>
      <c r="L228" t="s">
        <v>20</v>
      </c>
    </row>
    <row r="229" spans="1:12" x14ac:dyDescent="0.35">
      <c r="A229">
        <v>228</v>
      </c>
      <c r="B229" t="s">
        <v>17</v>
      </c>
      <c r="C229" s="1">
        <v>1.8</v>
      </c>
      <c r="D229">
        <v>84.2</v>
      </c>
      <c r="E229" s="1">
        <v>6.8</v>
      </c>
      <c r="F229" t="s">
        <v>24</v>
      </c>
      <c r="G229" s="2" t="s">
        <v>14</v>
      </c>
      <c r="H229" s="2" t="s">
        <v>15</v>
      </c>
      <c r="I229" t="s">
        <v>14</v>
      </c>
      <c r="J229">
        <v>75.900000000000006</v>
      </c>
      <c r="K229" s="1">
        <v>90</v>
      </c>
      <c r="L229" t="s">
        <v>16</v>
      </c>
    </row>
    <row r="230" spans="1:12" x14ac:dyDescent="0.35">
      <c r="A230">
        <v>229</v>
      </c>
      <c r="B230" t="s">
        <v>12</v>
      </c>
      <c r="C230" s="1">
        <v>7.2</v>
      </c>
      <c r="D230">
        <v>83.2</v>
      </c>
      <c r="E230" s="1">
        <v>7.5</v>
      </c>
      <c r="F230" t="s">
        <v>18</v>
      </c>
      <c r="G230" s="2" t="s">
        <v>14</v>
      </c>
      <c r="H230" s="2" t="s">
        <v>15</v>
      </c>
      <c r="I230" t="s">
        <v>15</v>
      </c>
      <c r="J230">
        <v>94.8</v>
      </c>
      <c r="K230" s="1">
        <v>100</v>
      </c>
      <c r="L230" t="s">
        <v>16</v>
      </c>
    </row>
    <row r="231" spans="1:12" x14ac:dyDescent="0.35">
      <c r="A231">
        <v>230</v>
      </c>
      <c r="B231" t="s">
        <v>12</v>
      </c>
      <c r="C231" s="1">
        <v>3.7</v>
      </c>
      <c r="D231">
        <v>100</v>
      </c>
      <c r="E231" s="1">
        <v>7.6</v>
      </c>
      <c r="F231" t="s">
        <v>18</v>
      </c>
      <c r="G231" s="2" t="s">
        <v>14</v>
      </c>
      <c r="H231" s="2" t="s">
        <v>14</v>
      </c>
      <c r="I231" t="s">
        <v>14</v>
      </c>
      <c r="J231">
        <v>71.900000000000006</v>
      </c>
      <c r="K231" s="1">
        <v>82.7</v>
      </c>
      <c r="L231" t="s">
        <v>20</v>
      </c>
    </row>
    <row r="232" spans="1:12" x14ac:dyDescent="0.35">
      <c r="A232">
        <v>231</v>
      </c>
      <c r="B232" t="s">
        <v>17</v>
      </c>
      <c r="C232" s="1">
        <v>3.7</v>
      </c>
      <c r="D232">
        <v>88</v>
      </c>
      <c r="E232" s="1">
        <v>5.9</v>
      </c>
      <c r="F232" t="s">
        <v>24</v>
      </c>
      <c r="G232" s="2" t="s">
        <v>14</v>
      </c>
      <c r="H232" s="2" t="s">
        <v>14</v>
      </c>
      <c r="I232" t="s">
        <v>15</v>
      </c>
      <c r="J232">
        <v>79.8</v>
      </c>
      <c r="K232" s="1">
        <v>98.3</v>
      </c>
      <c r="L232" t="s">
        <v>16</v>
      </c>
    </row>
    <row r="233" spans="1:12" x14ac:dyDescent="0.35">
      <c r="A233">
        <v>232</v>
      </c>
      <c r="B233" t="s">
        <v>17</v>
      </c>
      <c r="C233" s="1">
        <v>4.5999999999999996</v>
      </c>
      <c r="D233">
        <v>77.5</v>
      </c>
      <c r="E233" s="1">
        <v>6.9</v>
      </c>
      <c r="F233" t="s">
        <v>13</v>
      </c>
      <c r="G233" s="2" t="s">
        <v>14</v>
      </c>
      <c r="H233" s="2" t="s">
        <v>14</v>
      </c>
      <c r="I233" t="s">
        <v>15</v>
      </c>
      <c r="J233">
        <v>67.7</v>
      </c>
      <c r="K233" s="1">
        <v>91.5</v>
      </c>
      <c r="L233" t="s">
        <v>16</v>
      </c>
    </row>
    <row r="234" spans="1:12" x14ac:dyDescent="0.35">
      <c r="A234">
        <v>233</v>
      </c>
      <c r="B234" t="s">
        <v>17</v>
      </c>
      <c r="C234" s="1">
        <v>4.2</v>
      </c>
      <c r="D234">
        <v>80.7</v>
      </c>
      <c r="E234" s="1">
        <v>7.3</v>
      </c>
      <c r="F234" t="s">
        <v>24</v>
      </c>
      <c r="G234" s="2" t="s">
        <v>14</v>
      </c>
      <c r="H234" s="2" t="s">
        <v>15</v>
      </c>
      <c r="I234" t="s">
        <v>15</v>
      </c>
      <c r="J234">
        <v>73.599999999999994</v>
      </c>
      <c r="K234" s="1">
        <v>82.2</v>
      </c>
      <c r="L234" t="s">
        <v>20</v>
      </c>
    </row>
    <row r="235" spans="1:12" x14ac:dyDescent="0.35">
      <c r="A235">
        <v>234</v>
      </c>
      <c r="B235" t="s">
        <v>17</v>
      </c>
      <c r="C235" s="1">
        <v>3.8</v>
      </c>
      <c r="D235">
        <v>96.5</v>
      </c>
      <c r="E235" s="1">
        <v>8.5</v>
      </c>
      <c r="F235" t="s">
        <v>13</v>
      </c>
      <c r="G235" s="2" t="s">
        <v>14</v>
      </c>
      <c r="H235" s="2" t="s">
        <v>14</v>
      </c>
      <c r="I235" t="s">
        <v>15</v>
      </c>
      <c r="J235">
        <v>90</v>
      </c>
      <c r="K235" s="1">
        <v>100</v>
      </c>
      <c r="L235" t="s">
        <v>16</v>
      </c>
    </row>
    <row r="236" spans="1:12" x14ac:dyDescent="0.35">
      <c r="A236">
        <v>235</v>
      </c>
      <c r="B236" t="s">
        <v>17</v>
      </c>
      <c r="C236" s="1">
        <v>2.2999999999999998</v>
      </c>
      <c r="D236">
        <v>86.1</v>
      </c>
      <c r="E236" s="1">
        <v>7.6</v>
      </c>
      <c r="F236" t="s">
        <v>23</v>
      </c>
      <c r="G236" s="2" t="s">
        <v>14</v>
      </c>
      <c r="H236" s="2" t="s">
        <v>14</v>
      </c>
      <c r="I236" t="s">
        <v>15</v>
      </c>
      <c r="J236">
        <v>44.5</v>
      </c>
      <c r="K236" s="1">
        <v>80.2</v>
      </c>
      <c r="L236" t="s">
        <v>20</v>
      </c>
    </row>
    <row r="237" spans="1:12" x14ac:dyDescent="0.35">
      <c r="A237">
        <v>236</v>
      </c>
      <c r="B237" t="s">
        <v>17</v>
      </c>
      <c r="C237" s="1">
        <v>4.2</v>
      </c>
      <c r="D237">
        <v>70.599999999999994</v>
      </c>
      <c r="E237" s="1">
        <v>7.7</v>
      </c>
      <c r="F237" t="s">
        <v>13</v>
      </c>
      <c r="G237" s="2" t="s">
        <v>14</v>
      </c>
      <c r="H237" s="2" t="s">
        <v>15</v>
      </c>
      <c r="I237" t="s">
        <v>15</v>
      </c>
      <c r="J237">
        <v>75</v>
      </c>
      <c r="K237" s="1">
        <v>85.7</v>
      </c>
      <c r="L237" t="s">
        <v>20</v>
      </c>
    </row>
    <row r="238" spans="1:12" x14ac:dyDescent="0.35">
      <c r="A238">
        <v>237</v>
      </c>
      <c r="B238" t="s">
        <v>17</v>
      </c>
      <c r="C238" s="1">
        <v>6.3</v>
      </c>
      <c r="D238">
        <v>94.2</v>
      </c>
      <c r="E238" s="1">
        <v>6.9</v>
      </c>
      <c r="F238" t="s">
        <v>23</v>
      </c>
      <c r="G238" s="2" t="s">
        <v>14</v>
      </c>
      <c r="H238" s="2" t="s">
        <v>14</v>
      </c>
      <c r="I238" t="s">
        <v>15</v>
      </c>
      <c r="J238">
        <v>95.6</v>
      </c>
      <c r="K238" s="1">
        <v>100</v>
      </c>
      <c r="L238" t="s">
        <v>16</v>
      </c>
    </row>
    <row r="239" spans="1:12" x14ac:dyDescent="0.35">
      <c r="A239">
        <v>238</v>
      </c>
      <c r="B239" t="s">
        <v>17</v>
      </c>
      <c r="C239" s="1">
        <v>5.5</v>
      </c>
      <c r="D239">
        <v>78.3</v>
      </c>
      <c r="E239" s="1">
        <v>8.5</v>
      </c>
      <c r="F239" t="s">
        <v>19</v>
      </c>
      <c r="G239" s="2" t="s">
        <v>14</v>
      </c>
      <c r="H239" s="2" t="s">
        <v>15</v>
      </c>
      <c r="I239" t="s">
        <v>15</v>
      </c>
      <c r="J239">
        <v>73.400000000000006</v>
      </c>
      <c r="K239" s="1">
        <v>84.4</v>
      </c>
      <c r="L239" t="s">
        <v>20</v>
      </c>
    </row>
    <row r="240" spans="1:12" x14ac:dyDescent="0.35">
      <c r="A240">
        <v>239</v>
      </c>
      <c r="B240" t="s">
        <v>12</v>
      </c>
      <c r="C240" s="1">
        <v>5.9</v>
      </c>
      <c r="D240">
        <v>100</v>
      </c>
      <c r="E240" s="1">
        <v>7.3</v>
      </c>
      <c r="F240" t="s">
        <v>13</v>
      </c>
      <c r="G240" s="2" t="s">
        <v>14</v>
      </c>
      <c r="H240" s="2" t="s">
        <v>14</v>
      </c>
      <c r="I240" t="s">
        <v>15</v>
      </c>
      <c r="J240">
        <v>89.8</v>
      </c>
      <c r="K240" s="1">
        <v>100</v>
      </c>
      <c r="L240" t="s">
        <v>16</v>
      </c>
    </row>
    <row r="241" spans="1:12" x14ac:dyDescent="0.35">
      <c r="A241">
        <v>240</v>
      </c>
      <c r="B241" t="s">
        <v>17</v>
      </c>
      <c r="C241" s="1">
        <v>2.7</v>
      </c>
      <c r="D241">
        <v>95.8</v>
      </c>
      <c r="E241" s="1">
        <v>5.8</v>
      </c>
      <c r="F241" t="s">
        <v>18</v>
      </c>
      <c r="G241" s="2" t="s">
        <v>14</v>
      </c>
      <c r="H241" s="2" t="s">
        <v>15</v>
      </c>
      <c r="I241" t="s">
        <v>14</v>
      </c>
      <c r="J241">
        <v>62.4</v>
      </c>
      <c r="K241" s="1">
        <v>84.6</v>
      </c>
      <c r="L241" t="s">
        <v>20</v>
      </c>
    </row>
    <row r="242" spans="1:12" x14ac:dyDescent="0.35">
      <c r="A242">
        <v>241</v>
      </c>
      <c r="B242" t="s">
        <v>17</v>
      </c>
      <c r="C242" s="1">
        <v>2</v>
      </c>
      <c r="D242">
        <v>80.5</v>
      </c>
      <c r="E242" s="1">
        <v>8.5</v>
      </c>
      <c r="F242" t="s">
        <v>18</v>
      </c>
      <c r="G242" s="2" t="s">
        <v>14</v>
      </c>
      <c r="H242" s="2" t="s">
        <v>15</v>
      </c>
      <c r="I242" t="s">
        <v>14</v>
      </c>
      <c r="J242">
        <v>69.599999999999994</v>
      </c>
      <c r="K242" s="1">
        <v>80.599999999999994</v>
      </c>
      <c r="L242" t="s">
        <v>20</v>
      </c>
    </row>
    <row r="243" spans="1:12" x14ac:dyDescent="0.35">
      <c r="A243">
        <v>242</v>
      </c>
      <c r="B243" t="s">
        <v>12</v>
      </c>
      <c r="C243" s="1">
        <v>3.3</v>
      </c>
      <c r="D243">
        <v>97.8</v>
      </c>
      <c r="E243" s="1">
        <v>7.6</v>
      </c>
      <c r="F243" t="s">
        <v>18</v>
      </c>
      <c r="G243" s="2" t="s">
        <v>14</v>
      </c>
      <c r="H243" s="2" t="s">
        <v>15</v>
      </c>
      <c r="I243" t="s">
        <v>14</v>
      </c>
      <c r="J243">
        <v>70.400000000000006</v>
      </c>
      <c r="K243" s="1">
        <v>85.1</v>
      </c>
      <c r="L243" t="s">
        <v>20</v>
      </c>
    </row>
    <row r="244" spans="1:12" x14ac:dyDescent="0.35">
      <c r="A244">
        <v>243</v>
      </c>
      <c r="B244" t="s">
        <v>17</v>
      </c>
      <c r="C244" s="1">
        <v>3.6</v>
      </c>
      <c r="D244">
        <v>85.7</v>
      </c>
      <c r="E244" s="1">
        <v>6.3</v>
      </c>
      <c r="F244" t="s">
        <v>18</v>
      </c>
      <c r="G244" s="2" t="s">
        <v>14</v>
      </c>
      <c r="H244" s="2" t="s">
        <v>15</v>
      </c>
      <c r="I244" t="s">
        <v>14</v>
      </c>
      <c r="J244">
        <v>43.4</v>
      </c>
      <c r="K244" s="1">
        <v>69.400000000000006</v>
      </c>
      <c r="L244" t="s">
        <v>21</v>
      </c>
    </row>
    <row r="245" spans="1:12" x14ac:dyDescent="0.35">
      <c r="A245">
        <v>244</v>
      </c>
      <c r="B245" t="s">
        <v>12</v>
      </c>
      <c r="C245" s="1">
        <v>5.0999999999999996</v>
      </c>
      <c r="D245">
        <v>93.5</v>
      </c>
      <c r="E245" s="1">
        <v>6.2</v>
      </c>
      <c r="F245" t="s">
        <v>18</v>
      </c>
      <c r="G245" s="2" t="s">
        <v>14</v>
      </c>
      <c r="H245" s="2" t="s">
        <v>14</v>
      </c>
      <c r="I245" t="s">
        <v>15</v>
      </c>
      <c r="J245">
        <v>56</v>
      </c>
      <c r="K245" s="1">
        <v>92.2</v>
      </c>
      <c r="L245" t="s">
        <v>16</v>
      </c>
    </row>
    <row r="246" spans="1:12" x14ac:dyDescent="0.35">
      <c r="A246">
        <v>245</v>
      </c>
      <c r="B246" t="s">
        <v>12</v>
      </c>
      <c r="C246" s="1">
        <v>1</v>
      </c>
      <c r="D246">
        <v>89.8</v>
      </c>
      <c r="E246" s="1">
        <v>7.2</v>
      </c>
      <c r="F246" t="s">
        <v>13</v>
      </c>
      <c r="G246" s="2" t="s">
        <v>14</v>
      </c>
      <c r="H246" s="2" t="s">
        <v>14</v>
      </c>
      <c r="I246" t="s">
        <v>15</v>
      </c>
      <c r="J246">
        <v>56.8</v>
      </c>
      <c r="K246" s="1">
        <v>76.2</v>
      </c>
      <c r="L246" t="s">
        <v>22</v>
      </c>
    </row>
    <row r="247" spans="1:12" x14ac:dyDescent="0.35">
      <c r="A247">
        <v>246</v>
      </c>
      <c r="B247" t="s">
        <v>17</v>
      </c>
      <c r="C247" s="1">
        <v>5.8</v>
      </c>
      <c r="D247">
        <v>76.5</v>
      </c>
      <c r="E247" s="1">
        <v>7.4</v>
      </c>
      <c r="F247" t="s">
        <v>13</v>
      </c>
      <c r="G247" s="2" t="s">
        <v>14</v>
      </c>
      <c r="H247" s="2" t="s">
        <v>14</v>
      </c>
      <c r="I247" t="s">
        <v>15</v>
      </c>
      <c r="J247">
        <v>79.900000000000006</v>
      </c>
      <c r="K247" s="1">
        <v>100</v>
      </c>
      <c r="L247" t="s">
        <v>16</v>
      </c>
    </row>
    <row r="248" spans="1:12" x14ac:dyDescent="0.35">
      <c r="A248">
        <v>247</v>
      </c>
      <c r="B248" t="s">
        <v>12</v>
      </c>
      <c r="C248" s="1">
        <v>3.3</v>
      </c>
      <c r="D248">
        <v>78.599999999999994</v>
      </c>
      <c r="E248" s="1">
        <v>7</v>
      </c>
      <c r="F248" t="s">
        <v>13</v>
      </c>
      <c r="G248" s="2" t="s">
        <v>14</v>
      </c>
      <c r="H248" s="2" t="s">
        <v>15</v>
      </c>
      <c r="I248" t="s">
        <v>15</v>
      </c>
      <c r="J248">
        <v>80.5</v>
      </c>
      <c r="K248" s="1">
        <v>92.2</v>
      </c>
      <c r="L248" t="s">
        <v>16</v>
      </c>
    </row>
    <row r="249" spans="1:12" x14ac:dyDescent="0.35">
      <c r="A249">
        <v>248</v>
      </c>
      <c r="B249" t="s">
        <v>12</v>
      </c>
      <c r="C249" s="1">
        <v>2.9</v>
      </c>
      <c r="D249">
        <v>95.3</v>
      </c>
      <c r="E249" s="1">
        <v>7.2</v>
      </c>
      <c r="F249" t="s">
        <v>13</v>
      </c>
      <c r="G249" s="2" t="s">
        <v>15</v>
      </c>
      <c r="H249" s="2" t="s">
        <v>15</v>
      </c>
      <c r="I249" t="s">
        <v>15</v>
      </c>
      <c r="J249">
        <v>73.900000000000006</v>
      </c>
      <c r="K249" s="1">
        <v>76.5</v>
      </c>
      <c r="L249" t="s">
        <v>22</v>
      </c>
    </row>
    <row r="250" spans="1:12" x14ac:dyDescent="0.35">
      <c r="A250">
        <v>249</v>
      </c>
      <c r="B250" t="s">
        <v>12</v>
      </c>
      <c r="C250" s="1">
        <v>2</v>
      </c>
      <c r="D250">
        <v>81.7</v>
      </c>
      <c r="E250" s="1">
        <v>8.8000000000000007</v>
      </c>
      <c r="F250" t="s">
        <v>18</v>
      </c>
      <c r="G250" s="2" t="s">
        <v>14</v>
      </c>
      <c r="H250" s="2" t="s">
        <v>14</v>
      </c>
      <c r="I250" t="s">
        <v>15</v>
      </c>
      <c r="J250">
        <v>79.900000000000006</v>
      </c>
      <c r="K250" s="1">
        <v>82.7</v>
      </c>
      <c r="L250" t="s">
        <v>20</v>
      </c>
    </row>
    <row r="251" spans="1:12" x14ac:dyDescent="0.35">
      <c r="A251">
        <v>250</v>
      </c>
      <c r="B251" t="s">
        <v>12</v>
      </c>
      <c r="C251" s="1">
        <v>1</v>
      </c>
      <c r="D251">
        <v>81</v>
      </c>
      <c r="E251" s="1">
        <v>8.1</v>
      </c>
      <c r="F251" t="s">
        <v>18</v>
      </c>
      <c r="G251" s="2" t="s">
        <v>14</v>
      </c>
      <c r="H251" s="2" t="s">
        <v>15</v>
      </c>
      <c r="I251" t="s">
        <v>15</v>
      </c>
      <c r="J251">
        <v>68</v>
      </c>
      <c r="K251" s="1">
        <v>67.099999999999994</v>
      </c>
      <c r="L251" t="s">
        <v>21</v>
      </c>
    </row>
    <row r="252" spans="1:12" x14ac:dyDescent="0.35">
      <c r="A252">
        <v>251</v>
      </c>
      <c r="B252" t="s">
        <v>17</v>
      </c>
      <c r="C252" s="1">
        <v>4.7</v>
      </c>
      <c r="D252">
        <v>75.400000000000006</v>
      </c>
      <c r="E252" s="1">
        <v>7</v>
      </c>
      <c r="F252" t="s">
        <v>18</v>
      </c>
      <c r="G252" s="2" t="s">
        <v>14</v>
      </c>
      <c r="H252" s="2" t="s">
        <v>14</v>
      </c>
      <c r="I252" t="s">
        <v>14</v>
      </c>
      <c r="J252">
        <v>84.4</v>
      </c>
      <c r="K252" s="1">
        <v>88.4</v>
      </c>
      <c r="L252" t="s">
        <v>20</v>
      </c>
    </row>
    <row r="253" spans="1:12" x14ac:dyDescent="0.35">
      <c r="A253">
        <v>252</v>
      </c>
      <c r="B253" t="s">
        <v>12</v>
      </c>
      <c r="C253" s="1">
        <v>3.6</v>
      </c>
      <c r="D253">
        <v>89.2</v>
      </c>
      <c r="E253" s="1">
        <v>7.9</v>
      </c>
      <c r="F253" t="s">
        <v>13</v>
      </c>
      <c r="G253" s="2" t="s">
        <v>14</v>
      </c>
      <c r="H253" s="2" t="s">
        <v>15</v>
      </c>
      <c r="I253" t="s">
        <v>14</v>
      </c>
      <c r="J253">
        <v>70.099999999999994</v>
      </c>
      <c r="K253" s="1">
        <v>91</v>
      </c>
      <c r="L253" t="s">
        <v>16</v>
      </c>
    </row>
    <row r="254" spans="1:12" x14ac:dyDescent="0.35">
      <c r="A254">
        <v>253</v>
      </c>
      <c r="B254" t="s">
        <v>17</v>
      </c>
      <c r="C254" s="1">
        <v>1.6</v>
      </c>
      <c r="D254">
        <v>100</v>
      </c>
      <c r="E254" s="1">
        <v>5.6</v>
      </c>
      <c r="F254" t="s">
        <v>18</v>
      </c>
      <c r="G254" s="2" t="s">
        <v>15</v>
      </c>
      <c r="H254" s="2" t="s">
        <v>15</v>
      </c>
      <c r="I254" t="s">
        <v>15</v>
      </c>
      <c r="J254">
        <v>70.7</v>
      </c>
      <c r="K254" s="1">
        <v>75.8</v>
      </c>
      <c r="L254" t="s">
        <v>22</v>
      </c>
    </row>
    <row r="255" spans="1:12" x14ac:dyDescent="0.35">
      <c r="A255">
        <v>254</v>
      </c>
      <c r="B255" t="s">
        <v>12</v>
      </c>
      <c r="C255" s="1">
        <v>1.6</v>
      </c>
      <c r="D255">
        <v>74.3</v>
      </c>
      <c r="E255" s="1">
        <v>7.3</v>
      </c>
      <c r="F255" t="s">
        <v>18</v>
      </c>
      <c r="G255" s="2" t="s">
        <v>14</v>
      </c>
      <c r="H255" s="2" t="s">
        <v>14</v>
      </c>
      <c r="I255" t="s">
        <v>15</v>
      </c>
      <c r="J255">
        <v>66.8</v>
      </c>
      <c r="K255" s="1">
        <v>88.3</v>
      </c>
      <c r="L255" t="s">
        <v>20</v>
      </c>
    </row>
    <row r="256" spans="1:12" x14ac:dyDescent="0.35">
      <c r="A256">
        <v>255</v>
      </c>
      <c r="B256" t="s">
        <v>12</v>
      </c>
      <c r="C256" s="1">
        <v>3</v>
      </c>
      <c r="D256">
        <v>85.2</v>
      </c>
      <c r="E256" s="1">
        <v>9</v>
      </c>
      <c r="F256" t="s">
        <v>13</v>
      </c>
      <c r="G256" s="2" t="s">
        <v>14</v>
      </c>
      <c r="H256" s="2" t="s">
        <v>14</v>
      </c>
      <c r="I256" t="s">
        <v>14</v>
      </c>
      <c r="J256">
        <v>78.2</v>
      </c>
      <c r="K256" s="1">
        <v>87.6</v>
      </c>
      <c r="L256" t="s">
        <v>20</v>
      </c>
    </row>
    <row r="257" spans="1:12" x14ac:dyDescent="0.35">
      <c r="A257">
        <v>256</v>
      </c>
      <c r="B257" t="s">
        <v>12</v>
      </c>
      <c r="C257" s="1">
        <v>6</v>
      </c>
      <c r="D257">
        <v>99.1</v>
      </c>
      <c r="E257" s="1">
        <v>6.5</v>
      </c>
      <c r="F257" t="s">
        <v>23</v>
      </c>
      <c r="G257" s="2" t="s">
        <v>14</v>
      </c>
      <c r="H257" s="2" t="s">
        <v>14</v>
      </c>
      <c r="I257" t="s">
        <v>14</v>
      </c>
      <c r="J257">
        <v>64.900000000000006</v>
      </c>
      <c r="K257" s="1">
        <v>96.8</v>
      </c>
      <c r="L257" t="s">
        <v>16</v>
      </c>
    </row>
    <row r="258" spans="1:12" x14ac:dyDescent="0.35">
      <c r="A258">
        <v>257</v>
      </c>
      <c r="B258" t="s">
        <v>12</v>
      </c>
      <c r="C258" s="1">
        <v>3.1</v>
      </c>
      <c r="D258">
        <v>84.2</v>
      </c>
      <c r="E258" s="1">
        <v>5.8</v>
      </c>
      <c r="F258" t="s">
        <v>18</v>
      </c>
      <c r="G258" s="2" t="s">
        <v>14</v>
      </c>
      <c r="H258" s="2" t="s">
        <v>15</v>
      </c>
      <c r="I258" t="s">
        <v>15</v>
      </c>
      <c r="J258">
        <v>81.7</v>
      </c>
      <c r="K258" s="1">
        <v>86.7</v>
      </c>
      <c r="L258" t="s">
        <v>20</v>
      </c>
    </row>
    <row r="259" spans="1:12" x14ac:dyDescent="0.35">
      <c r="A259">
        <v>258</v>
      </c>
      <c r="B259" t="s">
        <v>17</v>
      </c>
      <c r="C259" s="1">
        <v>1.2</v>
      </c>
      <c r="D259">
        <v>89.5</v>
      </c>
      <c r="E259" s="1">
        <v>6</v>
      </c>
      <c r="F259" t="s">
        <v>13</v>
      </c>
      <c r="G259" s="2" t="s">
        <v>14</v>
      </c>
      <c r="H259" s="2" t="s">
        <v>14</v>
      </c>
      <c r="I259" t="s">
        <v>14</v>
      </c>
      <c r="J259">
        <v>56.4</v>
      </c>
      <c r="K259" s="1">
        <v>63.7</v>
      </c>
      <c r="L259" t="s">
        <v>21</v>
      </c>
    </row>
    <row r="260" spans="1:12" x14ac:dyDescent="0.35">
      <c r="A260">
        <v>259</v>
      </c>
      <c r="B260" t="s">
        <v>17</v>
      </c>
      <c r="C260" s="1">
        <v>3.1</v>
      </c>
      <c r="D260">
        <v>74.400000000000006</v>
      </c>
      <c r="E260" s="1">
        <v>5.5</v>
      </c>
      <c r="F260" t="s">
        <v>23</v>
      </c>
      <c r="G260" s="2" t="s">
        <v>14</v>
      </c>
      <c r="H260" s="2" t="s">
        <v>14</v>
      </c>
      <c r="I260" t="s">
        <v>15</v>
      </c>
      <c r="J260">
        <v>56.8</v>
      </c>
      <c r="K260" s="1">
        <v>73</v>
      </c>
      <c r="L260" t="s">
        <v>22</v>
      </c>
    </row>
    <row r="261" spans="1:12" x14ac:dyDescent="0.35">
      <c r="A261">
        <v>260</v>
      </c>
      <c r="B261" t="s">
        <v>12</v>
      </c>
      <c r="C261" s="1">
        <v>3.1</v>
      </c>
      <c r="D261">
        <v>89.3</v>
      </c>
      <c r="E261" s="1">
        <v>5.9</v>
      </c>
      <c r="F261" t="s">
        <v>23</v>
      </c>
      <c r="G261" s="2" t="s">
        <v>14</v>
      </c>
      <c r="H261" s="2" t="s">
        <v>14</v>
      </c>
      <c r="I261" t="s">
        <v>15</v>
      </c>
      <c r="J261">
        <v>78.2</v>
      </c>
      <c r="K261" s="1">
        <v>94.3</v>
      </c>
      <c r="L261" t="s">
        <v>16</v>
      </c>
    </row>
    <row r="262" spans="1:12" x14ac:dyDescent="0.35">
      <c r="A262">
        <v>261</v>
      </c>
      <c r="B262" t="s">
        <v>12</v>
      </c>
      <c r="C262" s="1">
        <v>0.5</v>
      </c>
      <c r="D262">
        <v>83.1</v>
      </c>
      <c r="E262" s="1">
        <v>6.4</v>
      </c>
      <c r="F262" t="s">
        <v>19</v>
      </c>
      <c r="G262" s="2" t="s">
        <v>14</v>
      </c>
      <c r="H262" s="2" t="s">
        <v>14</v>
      </c>
      <c r="I262" t="s">
        <v>15</v>
      </c>
      <c r="J262">
        <v>68.900000000000006</v>
      </c>
      <c r="K262" s="1">
        <v>71.3</v>
      </c>
      <c r="L262" t="s">
        <v>22</v>
      </c>
    </row>
    <row r="263" spans="1:12" x14ac:dyDescent="0.35">
      <c r="A263">
        <v>262</v>
      </c>
      <c r="B263" t="s">
        <v>17</v>
      </c>
      <c r="C263" s="1">
        <v>3.4</v>
      </c>
      <c r="D263">
        <v>94.9</v>
      </c>
      <c r="E263" s="1">
        <v>5.0999999999999996</v>
      </c>
      <c r="F263" t="s">
        <v>18</v>
      </c>
      <c r="G263" s="2" t="s">
        <v>14</v>
      </c>
      <c r="H263" s="2" t="s">
        <v>14</v>
      </c>
      <c r="I263" t="s">
        <v>15</v>
      </c>
      <c r="J263">
        <v>64.599999999999994</v>
      </c>
      <c r="K263" s="1">
        <v>79.7</v>
      </c>
      <c r="L263" t="s">
        <v>22</v>
      </c>
    </row>
    <row r="264" spans="1:12" x14ac:dyDescent="0.35">
      <c r="A264">
        <v>263</v>
      </c>
      <c r="B264" t="s">
        <v>12</v>
      </c>
      <c r="C264" s="1">
        <v>3.2</v>
      </c>
      <c r="D264">
        <v>96.9</v>
      </c>
      <c r="E264" s="1">
        <v>6.8</v>
      </c>
      <c r="F264" t="s">
        <v>18</v>
      </c>
      <c r="G264" s="2" t="s">
        <v>15</v>
      </c>
      <c r="H264" s="2" t="s">
        <v>15</v>
      </c>
      <c r="I264" t="s">
        <v>15</v>
      </c>
      <c r="J264">
        <v>80.7</v>
      </c>
      <c r="K264" s="1">
        <v>81.2</v>
      </c>
      <c r="L264" t="s">
        <v>20</v>
      </c>
    </row>
    <row r="265" spans="1:12" x14ac:dyDescent="0.35">
      <c r="A265">
        <v>264</v>
      </c>
      <c r="B265" t="s">
        <v>12</v>
      </c>
      <c r="C265" s="1">
        <v>4.5</v>
      </c>
      <c r="D265">
        <v>100</v>
      </c>
      <c r="E265" s="1">
        <v>7.9</v>
      </c>
      <c r="F265" t="s">
        <v>24</v>
      </c>
      <c r="G265" s="2" t="s">
        <v>14</v>
      </c>
      <c r="H265" s="2" t="s">
        <v>14</v>
      </c>
      <c r="I265" t="s">
        <v>15</v>
      </c>
      <c r="J265">
        <v>62.7</v>
      </c>
      <c r="K265" s="1">
        <v>91.1</v>
      </c>
      <c r="L265" t="s">
        <v>16</v>
      </c>
    </row>
    <row r="266" spans="1:12" x14ac:dyDescent="0.35">
      <c r="A266">
        <v>265</v>
      </c>
      <c r="B266" t="s">
        <v>12</v>
      </c>
      <c r="C266" s="1">
        <v>6.3</v>
      </c>
      <c r="D266">
        <v>90.8</v>
      </c>
      <c r="E266" s="1">
        <v>5.7</v>
      </c>
      <c r="F266" t="s">
        <v>13</v>
      </c>
      <c r="G266" s="2" t="s">
        <v>14</v>
      </c>
      <c r="H266" s="2" t="s">
        <v>15</v>
      </c>
      <c r="I266" t="s">
        <v>15</v>
      </c>
      <c r="J266">
        <v>67.599999999999994</v>
      </c>
      <c r="K266" s="1">
        <v>97.5</v>
      </c>
      <c r="L266" t="s">
        <v>16</v>
      </c>
    </row>
    <row r="267" spans="1:12" x14ac:dyDescent="0.35">
      <c r="A267">
        <v>266</v>
      </c>
      <c r="B267" t="s">
        <v>17</v>
      </c>
      <c r="C267" s="1">
        <v>5.2</v>
      </c>
      <c r="D267">
        <v>88.3</v>
      </c>
      <c r="E267" s="1">
        <v>8.6</v>
      </c>
      <c r="F267" t="s">
        <v>13</v>
      </c>
      <c r="G267" s="2" t="s">
        <v>14</v>
      </c>
      <c r="H267" s="2" t="s">
        <v>15</v>
      </c>
      <c r="I267" t="s">
        <v>15</v>
      </c>
      <c r="J267">
        <v>86.8</v>
      </c>
      <c r="K267" s="1">
        <v>100</v>
      </c>
      <c r="L267" t="s">
        <v>16</v>
      </c>
    </row>
    <row r="268" spans="1:12" x14ac:dyDescent="0.35">
      <c r="A268">
        <v>267</v>
      </c>
      <c r="B268" t="s">
        <v>17</v>
      </c>
      <c r="C268" s="1">
        <v>3.1</v>
      </c>
      <c r="D268">
        <v>86.9</v>
      </c>
      <c r="E268" s="1">
        <v>7.4</v>
      </c>
      <c r="F268" t="s">
        <v>23</v>
      </c>
      <c r="G268" s="2" t="s">
        <v>14</v>
      </c>
      <c r="H268" s="2" t="s">
        <v>14</v>
      </c>
      <c r="I268" t="s">
        <v>14</v>
      </c>
      <c r="J268">
        <v>88.5</v>
      </c>
      <c r="K268" s="1">
        <v>81.599999999999994</v>
      </c>
      <c r="L268" t="s">
        <v>20</v>
      </c>
    </row>
    <row r="269" spans="1:12" x14ac:dyDescent="0.35">
      <c r="A269">
        <v>268</v>
      </c>
      <c r="B269" t="s">
        <v>17</v>
      </c>
      <c r="C269" s="1">
        <v>1.8</v>
      </c>
      <c r="D269">
        <v>81.5</v>
      </c>
      <c r="E269" s="1">
        <v>8</v>
      </c>
      <c r="F269" t="s">
        <v>23</v>
      </c>
      <c r="G269" s="2" t="s">
        <v>14</v>
      </c>
      <c r="H269" s="2" t="s">
        <v>14</v>
      </c>
      <c r="I269" t="s">
        <v>15</v>
      </c>
      <c r="J269">
        <v>88.9</v>
      </c>
      <c r="K269" s="1">
        <v>83.9</v>
      </c>
      <c r="L269" t="s">
        <v>20</v>
      </c>
    </row>
    <row r="270" spans="1:12" x14ac:dyDescent="0.35">
      <c r="A270">
        <v>269</v>
      </c>
      <c r="B270" t="s">
        <v>12</v>
      </c>
      <c r="C270" s="1">
        <v>7.4</v>
      </c>
      <c r="D270">
        <v>88.4</v>
      </c>
      <c r="E270" s="1">
        <v>6</v>
      </c>
      <c r="F270" t="s">
        <v>19</v>
      </c>
      <c r="G270" s="2" t="s">
        <v>14</v>
      </c>
      <c r="H270" s="2" t="s">
        <v>15</v>
      </c>
      <c r="I270" t="s">
        <v>15</v>
      </c>
      <c r="J270">
        <v>66.599999999999994</v>
      </c>
      <c r="K270" s="1">
        <v>100</v>
      </c>
      <c r="L270" t="s">
        <v>16</v>
      </c>
    </row>
    <row r="271" spans="1:12" x14ac:dyDescent="0.35">
      <c r="A271">
        <v>270</v>
      </c>
      <c r="B271" t="s">
        <v>12</v>
      </c>
      <c r="C271" s="1">
        <v>3.6</v>
      </c>
      <c r="D271">
        <v>82</v>
      </c>
      <c r="E271" s="1">
        <v>7.8</v>
      </c>
      <c r="F271" t="s">
        <v>19</v>
      </c>
      <c r="G271" s="2" t="s">
        <v>14</v>
      </c>
      <c r="H271" s="2" t="s">
        <v>15</v>
      </c>
      <c r="I271" t="s">
        <v>15</v>
      </c>
      <c r="J271">
        <v>84.8</v>
      </c>
      <c r="K271" s="1">
        <v>80.2</v>
      </c>
      <c r="L271" t="s">
        <v>20</v>
      </c>
    </row>
    <row r="272" spans="1:12" x14ac:dyDescent="0.35">
      <c r="A272">
        <v>271</v>
      </c>
      <c r="B272" t="s">
        <v>17</v>
      </c>
      <c r="C272" s="1">
        <v>3.5</v>
      </c>
      <c r="D272">
        <v>86.7</v>
      </c>
      <c r="E272" s="1">
        <v>5.5</v>
      </c>
      <c r="F272" t="s">
        <v>23</v>
      </c>
      <c r="G272" s="2" t="s">
        <v>14</v>
      </c>
      <c r="H272" s="2" t="s">
        <v>14</v>
      </c>
      <c r="I272" t="s">
        <v>15</v>
      </c>
      <c r="J272">
        <v>58.6</v>
      </c>
      <c r="K272" s="1">
        <v>75.099999999999994</v>
      </c>
      <c r="L272" t="s">
        <v>22</v>
      </c>
    </row>
    <row r="273" spans="1:12" x14ac:dyDescent="0.35">
      <c r="A273">
        <v>272</v>
      </c>
      <c r="B273" t="s">
        <v>17</v>
      </c>
      <c r="C273" s="1">
        <v>3.5</v>
      </c>
      <c r="D273">
        <v>98.2</v>
      </c>
      <c r="E273" s="1">
        <v>7.9</v>
      </c>
      <c r="F273" t="s">
        <v>18</v>
      </c>
      <c r="G273" s="2" t="s">
        <v>15</v>
      </c>
      <c r="H273" s="2" t="s">
        <v>14</v>
      </c>
      <c r="I273" t="s">
        <v>15</v>
      </c>
      <c r="J273">
        <v>59.1</v>
      </c>
      <c r="K273" s="1">
        <v>78.2</v>
      </c>
      <c r="L273" t="s">
        <v>22</v>
      </c>
    </row>
    <row r="274" spans="1:12" x14ac:dyDescent="0.35">
      <c r="A274">
        <v>273</v>
      </c>
      <c r="B274" t="s">
        <v>17</v>
      </c>
      <c r="C274" s="1">
        <v>3.8</v>
      </c>
      <c r="D274">
        <v>74.900000000000006</v>
      </c>
      <c r="E274" s="1">
        <v>7</v>
      </c>
      <c r="F274" t="s">
        <v>24</v>
      </c>
      <c r="G274" s="2" t="s">
        <v>14</v>
      </c>
      <c r="H274" s="2" t="s">
        <v>14</v>
      </c>
      <c r="I274" t="s">
        <v>14</v>
      </c>
      <c r="J274">
        <v>41.8</v>
      </c>
      <c r="K274" s="1">
        <v>64.7</v>
      </c>
      <c r="L274" t="s">
        <v>21</v>
      </c>
    </row>
    <row r="275" spans="1:12" x14ac:dyDescent="0.35">
      <c r="A275">
        <v>274</v>
      </c>
      <c r="B275" t="s">
        <v>17</v>
      </c>
      <c r="C275" s="1">
        <v>3.3</v>
      </c>
      <c r="D275">
        <v>96.4</v>
      </c>
      <c r="E275" s="1">
        <v>7.5</v>
      </c>
      <c r="F275" t="s">
        <v>18</v>
      </c>
      <c r="G275" s="2" t="s">
        <v>14</v>
      </c>
      <c r="H275" s="2" t="s">
        <v>15</v>
      </c>
      <c r="I275" t="s">
        <v>15</v>
      </c>
      <c r="J275">
        <v>90.1</v>
      </c>
      <c r="K275" s="1">
        <v>97.8</v>
      </c>
      <c r="L275" t="s">
        <v>16</v>
      </c>
    </row>
    <row r="276" spans="1:12" x14ac:dyDescent="0.35">
      <c r="A276">
        <v>275</v>
      </c>
      <c r="B276" t="s">
        <v>12</v>
      </c>
      <c r="C276" s="1">
        <v>2.6</v>
      </c>
      <c r="D276">
        <v>98.2</v>
      </c>
      <c r="E276" s="1">
        <v>5.4</v>
      </c>
      <c r="F276" t="s">
        <v>18</v>
      </c>
      <c r="G276" s="2" t="s">
        <v>15</v>
      </c>
      <c r="H276" s="2" t="s">
        <v>14</v>
      </c>
      <c r="I276" t="s">
        <v>15</v>
      </c>
      <c r="J276">
        <v>59.6</v>
      </c>
      <c r="K276" s="1">
        <v>74.400000000000006</v>
      </c>
      <c r="L276" t="s">
        <v>22</v>
      </c>
    </row>
    <row r="277" spans="1:12" x14ac:dyDescent="0.35">
      <c r="A277">
        <v>276</v>
      </c>
      <c r="B277" t="s">
        <v>17</v>
      </c>
      <c r="C277" s="1">
        <v>2.7</v>
      </c>
      <c r="D277">
        <v>83.8</v>
      </c>
      <c r="E277" s="1">
        <v>5.7</v>
      </c>
      <c r="F277" t="s">
        <v>24</v>
      </c>
      <c r="G277" s="2" t="s">
        <v>14</v>
      </c>
      <c r="H277" s="2" t="s">
        <v>14</v>
      </c>
      <c r="I277" t="s">
        <v>15</v>
      </c>
      <c r="J277">
        <v>68.5</v>
      </c>
      <c r="K277" s="1">
        <v>76.400000000000006</v>
      </c>
      <c r="L277" t="s">
        <v>22</v>
      </c>
    </row>
    <row r="278" spans="1:12" x14ac:dyDescent="0.35">
      <c r="A278">
        <v>277</v>
      </c>
      <c r="B278" t="s">
        <v>12</v>
      </c>
      <c r="C278" s="1">
        <v>3.5</v>
      </c>
      <c r="D278">
        <v>63.8</v>
      </c>
      <c r="E278" s="1">
        <v>7.5</v>
      </c>
      <c r="F278" t="s">
        <v>18</v>
      </c>
      <c r="G278" s="2" t="s">
        <v>14</v>
      </c>
      <c r="H278" s="2" t="s">
        <v>15</v>
      </c>
      <c r="I278" t="s">
        <v>15</v>
      </c>
      <c r="J278">
        <v>59.1</v>
      </c>
      <c r="K278" s="1">
        <v>76.3</v>
      </c>
      <c r="L278" t="s">
        <v>22</v>
      </c>
    </row>
    <row r="279" spans="1:12" x14ac:dyDescent="0.35">
      <c r="A279">
        <v>278</v>
      </c>
      <c r="B279" t="s">
        <v>17</v>
      </c>
      <c r="C279" s="1">
        <v>2.7</v>
      </c>
      <c r="D279">
        <v>78.900000000000006</v>
      </c>
      <c r="E279" s="1">
        <v>5.7</v>
      </c>
      <c r="F279" t="s">
        <v>18</v>
      </c>
      <c r="G279" s="2" t="s">
        <v>14</v>
      </c>
      <c r="H279" s="2" t="s">
        <v>15</v>
      </c>
      <c r="I279" t="s">
        <v>14</v>
      </c>
      <c r="J279">
        <v>78.3</v>
      </c>
      <c r="K279" s="1">
        <v>88.3</v>
      </c>
      <c r="L279" t="s">
        <v>20</v>
      </c>
    </row>
    <row r="280" spans="1:12" x14ac:dyDescent="0.35">
      <c r="A280">
        <v>279</v>
      </c>
      <c r="B280" t="s">
        <v>12</v>
      </c>
      <c r="C280" s="1">
        <v>2.4</v>
      </c>
      <c r="D280">
        <v>98</v>
      </c>
      <c r="E280" s="1">
        <v>7.4</v>
      </c>
      <c r="F280" t="s">
        <v>18</v>
      </c>
      <c r="G280" s="2" t="s">
        <v>14</v>
      </c>
      <c r="H280" s="2" t="s">
        <v>14</v>
      </c>
      <c r="I280" t="s">
        <v>15</v>
      </c>
      <c r="J280">
        <v>65.5</v>
      </c>
      <c r="K280" s="1">
        <v>94</v>
      </c>
      <c r="L280" t="s">
        <v>16</v>
      </c>
    </row>
    <row r="281" spans="1:12" x14ac:dyDescent="0.35">
      <c r="A281">
        <v>280</v>
      </c>
      <c r="B281" t="s">
        <v>17</v>
      </c>
      <c r="C281" s="1">
        <v>3.7</v>
      </c>
      <c r="D281">
        <v>84.8</v>
      </c>
      <c r="E281" s="1">
        <v>5.2</v>
      </c>
      <c r="F281" t="s">
        <v>24</v>
      </c>
      <c r="G281" s="2" t="s">
        <v>15</v>
      </c>
      <c r="H281" s="2" t="s">
        <v>14</v>
      </c>
      <c r="I281" t="s">
        <v>14</v>
      </c>
      <c r="J281">
        <v>54.3</v>
      </c>
      <c r="K281" s="1">
        <v>58.8</v>
      </c>
      <c r="L281" t="s">
        <v>25</v>
      </c>
    </row>
    <row r="282" spans="1:12" x14ac:dyDescent="0.35">
      <c r="A282">
        <v>281</v>
      </c>
      <c r="B282" t="s">
        <v>17</v>
      </c>
      <c r="C282" s="1">
        <v>3.1</v>
      </c>
      <c r="D282">
        <v>75</v>
      </c>
      <c r="E282" s="1">
        <v>7.8</v>
      </c>
      <c r="F282" t="s">
        <v>13</v>
      </c>
      <c r="G282" s="2" t="s">
        <v>15</v>
      </c>
      <c r="H282" s="2" t="s">
        <v>15</v>
      </c>
      <c r="I282" t="s">
        <v>15</v>
      </c>
      <c r="J282">
        <v>75.3</v>
      </c>
      <c r="K282" s="1">
        <v>81.099999999999994</v>
      </c>
      <c r="L282" t="s">
        <v>20</v>
      </c>
    </row>
    <row r="283" spans="1:12" x14ac:dyDescent="0.35">
      <c r="A283">
        <v>282</v>
      </c>
      <c r="B283" t="s">
        <v>17</v>
      </c>
      <c r="C283" s="1">
        <v>5.8</v>
      </c>
      <c r="D283">
        <v>80</v>
      </c>
      <c r="E283" s="1">
        <v>5.3</v>
      </c>
      <c r="F283" t="s">
        <v>23</v>
      </c>
      <c r="G283" s="2" t="s">
        <v>14</v>
      </c>
      <c r="H283" s="2" t="s">
        <v>14</v>
      </c>
      <c r="I283" t="s">
        <v>15</v>
      </c>
      <c r="J283">
        <v>52.8</v>
      </c>
      <c r="K283" s="1">
        <v>84.5</v>
      </c>
      <c r="L283" t="s">
        <v>20</v>
      </c>
    </row>
    <row r="284" spans="1:12" x14ac:dyDescent="0.35">
      <c r="A284">
        <v>283</v>
      </c>
      <c r="B284" t="s">
        <v>17</v>
      </c>
      <c r="C284" s="1">
        <v>0.5</v>
      </c>
      <c r="D284">
        <v>93.4</v>
      </c>
      <c r="E284" s="1">
        <v>7.5</v>
      </c>
      <c r="F284" t="s">
        <v>18</v>
      </c>
      <c r="G284" s="2" t="s">
        <v>14</v>
      </c>
      <c r="H284" s="2" t="s">
        <v>14</v>
      </c>
      <c r="I284" t="s">
        <v>14</v>
      </c>
      <c r="J284">
        <v>60</v>
      </c>
      <c r="K284" s="1">
        <v>69.900000000000006</v>
      </c>
      <c r="L284" t="s">
        <v>21</v>
      </c>
    </row>
    <row r="285" spans="1:12" x14ac:dyDescent="0.35">
      <c r="A285">
        <v>284</v>
      </c>
      <c r="B285" t="s">
        <v>12</v>
      </c>
      <c r="C285" s="1">
        <v>5.0999999999999996</v>
      </c>
      <c r="D285">
        <v>90.5</v>
      </c>
      <c r="E285" s="1">
        <v>7.6</v>
      </c>
      <c r="F285" t="s">
        <v>23</v>
      </c>
      <c r="G285" s="2" t="s">
        <v>14</v>
      </c>
      <c r="H285" s="2" t="s">
        <v>15</v>
      </c>
      <c r="I285" t="s">
        <v>15</v>
      </c>
      <c r="J285">
        <v>44.7</v>
      </c>
      <c r="K285" s="1">
        <v>82.2</v>
      </c>
      <c r="L285" t="s">
        <v>20</v>
      </c>
    </row>
    <row r="286" spans="1:12" x14ac:dyDescent="0.35">
      <c r="A286">
        <v>285</v>
      </c>
      <c r="B286" t="s">
        <v>17</v>
      </c>
      <c r="C286" s="1">
        <v>5.4</v>
      </c>
      <c r="D286">
        <v>82.6</v>
      </c>
      <c r="E286" s="1">
        <v>6</v>
      </c>
      <c r="F286" t="s">
        <v>23</v>
      </c>
      <c r="G286" s="2" t="s">
        <v>14</v>
      </c>
      <c r="H286" s="2" t="s">
        <v>14</v>
      </c>
      <c r="I286" t="s">
        <v>14</v>
      </c>
      <c r="J286">
        <v>52.9</v>
      </c>
      <c r="K286" s="1">
        <v>83.3</v>
      </c>
      <c r="L286" t="s">
        <v>20</v>
      </c>
    </row>
    <row r="287" spans="1:12" x14ac:dyDescent="0.35">
      <c r="A287">
        <v>286</v>
      </c>
      <c r="B287" t="s">
        <v>12</v>
      </c>
      <c r="C287" s="1">
        <v>0.5</v>
      </c>
      <c r="D287">
        <v>81.3</v>
      </c>
      <c r="E287" s="1">
        <v>7.5</v>
      </c>
      <c r="F287" t="s">
        <v>18</v>
      </c>
      <c r="G287" s="2" t="s">
        <v>14</v>
      </c>
      <c r="H287" s="2" t="s">
        <v>15</v>
      </c>
      <c r="I287" t="s">
        <v>14</v>
      </c>
      <c r="J287">
        <v>72.099999999999994</v>
      </c>
      <c r="K287" s="1">
        <v>69.5</v>
      </c>
      <c r="L287" t="s">
        <v>21</v>
      </c>
    </row>
    <row r="288" spans="1:12" x14ac:dyDescent="0.35">
      <c r="A288">
        <v>287</v>
      </c>
      <c r="B288" t="s">
        <v>12</v>
      </c>
      <c r="C288" s="1">
        <v>3</v>
      </c>
      <c r="D288">
        <v>81.099999999999994</v>
      </c>
      <c r="E288" s="1">
        <v>7.1</v>
      </c>
      <c r="F288" t="s">
        <v>13</v>
      </c>
      <c r="G288" s="2" t="s">
        <v>14</v>
      </c>
      <c r="H288" s="2" t="s">
        <v>15</v>
      </c>
      <c r="I288" t="s">
        <v>15</v>
      </c>
      <c r="J288">
        <v>46.4</v>
      </c>
      <c r="K288" s="1">
        <v>68.5</v>
      </c>
      <c r="L288" t="s">
        <v>21</v>
      </c>
    </row>
    <row r="289" spans="1:12" x14ac:dyDescent="0.35">
      <c r="A289">
        <v>288</v>
      </c>
      <c r="B289" t="s">
        <v>12</v>
      </c>
      <c r="C289" s="1">
        <v>2.9</v>
      </c>
      <c r="D289">
        <v>75.8</v>
      </c>
      <c r="E289" s="1">
        <v>6.2</v>
      </c>
      <c r="F289" t="s">
        <v>18</v>
      </c>
      <c r="G289" s="2" t="s">
        <v>15</v>
      </c>
      <c r="H289" s="2" t="s">
        <v>14</v>
      </c>
      <c r="I289" t="s">
        <v>15</v>
      </c>
      <c r="J289">
        <v>52.2</v>
      </c>
      <c r="K289" s="1">
        <v>61.5</v>
      </c>
      <c r="L289" t="s">
        <v>21</v>
      </c>
    </row>
    <row r="290" spans="1:12" x14ac:dyDescent="0.35">
      <c r="A290">
        <v>289</v>
      </c>
      <c r="B290" t="s">
        <v>12</v>
      </c>
      <c r="C290" s="1">
        <v>1.4</v>
      </c>
      <c r="D290">
        <v>100</v>
      </c>
      <c r="E290" s="1">
        <v>5.6</v>
      </c>
      <c r="F290" t="s">
        <v>19</v>
      </c>
      <c r="G290" s="2" t="s">
        <v>15</v>
      </c>
      <c r="H290" s="2" t="s">
        <v>14</v>
      </c>
      <c r="I290" t="s">
        <v>15</v>
      </c>
      <c r="J290">
        <v>70</v>
      </c>
      <c r="K290" s="1">
        <v>72.3</v>
      </c>
      <c r="L290" t="s">
        <v>22</v>
      </c>
    </row>
    <row r="291" spans="1:12" x14ac:dyDescent="0.35">
      <c r="A291">
        <v>290</v>
      </c>
      <c r="B291" t="s">
        <v>17</v>
      </c>
      <c r="C291" s="1">
        <v>2.2999999999999998</v>
      </c>
      <c r="D291">
        <v>81.8</v>
      </c>
      <c r="E291" s="1">
        <v>4.4000000000000004</v>
      </c>
      <c r="F291" t="s">
        <v>13</v>
      </c>
      <c r="G291" s="2" t="s">
        <v>14</v>
      </c>
      <c r="H291" s="2" t="s">
        <v>15</v>
      </c>
      <c r="I291" t="s">
        <v>15</v>
      </c>
      <c r="J291">
        <v>63.5</v>
      </c>
      <c r="K291" s="1">
        <v>74.099999999999994</v>
      </c>
      <c r="L291" t="s">
        <v>22</v>
      </c>
    </row>
    <row r="292" spans="1:12" x14ac:dyDescent="0.35">
      <c r="A292">
        <v>291</v>
      </c>
      <c r="B292" t="s">
        <v>12</v>
      </c>
      <c r="C292" s="1">
        <v>1.8</v>
      </c>
      <c r="D292">
        <v>97.2</v>
      </c>
      <c r="E292" s="1">
        <v>7.2</v>
      </c>
      <c r="F292" t="s">
        <v>19</v>
      </c>
      <c r="G292" s="2" t="s">
        <v>14</v>
      </c>
      <c r="H292" s="2" t="s">
        <v>15</v>
      </c>
      <c r="I292" t="s">
        <v>15</v>
      </c>
      <c r="J292">
        <v>93.9</v>
      </c>
      <c r="K292" s="1">
        <v>94.9</v>
      </c>
      <c r="L292" t="s">
        <v>16</v>
      </c>
    </row>
    <row r="293" spans="1:12" x14ac:dyDescent="0.35">
      <c r="A293">
        <v>292</v>
      </c>
      <c r="B293" t="s">
        <v>12</v>
      </c>
      <c r="C293" s="1">
        <v>6.1</v>
      </c>
      <c r="D293">
        <v>100</v>
      </c>
      <c r="E293" s="1">
        <v>4.9000000000000004</v>
      </c>
      <c r="F293" t="s">
        <v>18</v>
      </c>
      <c r="G293" s="2" t="s">
        <v>14</v>
      </c>
      <c r="H293" s="2" t="s">
        <v>15</v>
      </c>
      <c r="I293" t="s">
        <v>15</v>
      </c>
      <c r="J293">
        <v>92</v>
      </c>
      <c r="K293" s="1">
        <v>100</v>
      </c>
      <c r="L293" t="s">
        <v>16</v>
      </c>
    </row>
    <row r="294" spans="1:12" x14ac:dyDescent="0.35">
      <c r="A294">
        <v>293</v>
      </c>
      <c r="B294" t="s">
        <v>12</v>
      </c>
      <c r="C294" s="1">
        <v>4.9000000000000004</v>
      </c>
      <c r="D294">
        <v>95</v>
      </c>
      <c r="E294" s="1">
        <v>6.9</v>
      </c>
      <c r="F294" t="s">
        <v>23</v>
      </c>
      <c r="G294" s="2" t="s">
        <v>14</v>
      </c>
      <c r="H294" s="2" t="s">
        <v>15</v>
      </c>
      <c r="I294" t="s">
        <v>14</v>
      </c>
      <c r="J294">
        <v>59.6</v>
      </c>
      <c r="K294" s="1">
        <v>84.5</v>
      </c>
      <c r="L294" t="s">
        <v>20</v>
      </c>
    </row>
    <row r="295" spans="1:12" x14ac:dyDescent="0.35">
      <c r="A295">
        <v>294</v>
      </c>
      <c r="B295" t="s">
        <v>17</v>
      </c>
      <c r="C295" s="1">
        <v>5.4</v>
      </c>
      <c r="D295">
        <v>80.7</v>
      </c>
      <c r="E295" s="1">
        <v>6.5</v>
      </c>
      <c r="F295" t="s">
        <v>23</v>
      </c>
      <c r="G295" s="2" t="s">
        <v>14</v>
      </c>
      <c r="H295" s="2" t="s">
        <v>14</v>
      </c>
      <c r="I295" t="s">
        <v>14</v>
      </c>
      <c r="J295">
        <v>76.7</v>
      </c>
      <c r="K295" s="1">
        <v>93.7</v>
      </c>
      <c r="L295" t="s">
        <v>16</v>
      </c>
    </row>
    <row r="296" spans="1:12" x14ac:dyDescent="0.35">
      <c r="A296">
        <v>295</v>
      </c>
      <c r="B296" t="s">
        <v>17</v>
      </c>
      <c r="C296" s="1">
        <v>4.5999999999999996</v>
      </c>
      <c r="D296">
        <v>89</v>
      </c>
      <c r="E296" s="1">
        <v>7.6</v>
      </c>
      <c r="F296" t="s">
        <v>23</v>
      </c>
      <c r="G296" s="2" t="s">
        <v>14</v>
      </c>
      <c r="H296" s="2" t="s">
        <v>15</v>
      </c>
      <c r="I296" t="s">
        <v>15</v>
      </c>
      <c r="J296">
        <v>79</v>
      </c>
      <c r="K296" s="1">
        <v>100</v>
      </c>
      <c r="L296" t="s">
        <v>16</v>
      </c>
    </row>
    <row r="297" spans="1:12" x14ac:dyDescent="0.35">
      <c r="A297">
        <v>296</v>
      </c>
      <c r="B297" t="s">
        <v>17</v>
      </c>
      <c r="C297" s="1">
        <v>1.8</v>
      </c>
      <c r="D297">
        <v>84.8</v>
      </c>
      <c r="E297" s="1">
        <v>6.4</v>
      </c>
      <c r="F297" t="s">
        <v>19</v>
      </c>
      <c r="G297" s="2" t="s">
        <v>14</v>
      </c>
      <c r="H297" s="2" t="s">
        <v>14</v>
      </c>
      <c r="I297" t="s">
        <v>15</v>
      </c>
      <c r="J297">
        <v>62.8</v>
      </c>
      <c r="K297" s="1">
        <v>81.599999999999994</v>
      </c>
      <c r="L297" t="s">
        <v>20</v>
      </c>
    </row>
    <row r="298" spans="1:12" x14ac:dyDescent="0.35">
      <c r="A298">
        <v>297</v>
      </c>
      <c r="B298" t="s">
        <v>17</v>
      </c>
      <c r="C298" s="1">
        <v>2.7</v>
      </c>
      <c r="D298">
        <v>76</v>
      </c>
      <c r="E298" s="1">
        <v>6.4</v>
      </c>
      <c r="F298" t="s">
        <v>13</v>
      </c>
      <c r="G298" s="2" t="s">
        <v>14</v>
      </c>
      <c r="H298" s="2" t="s">
        <v>14</v>
      </c>
      <c r="I298" t="s">
        <v>15</v>
      </c>
      <c r="J298">
        <v>52.1</v>
      </c>
      <c r="K298" s="1">
        <v>70.900000000000006</v>
      </c>
      <c r="L298" t="s">
        <v>22</v>
      </c>
    </row>
    <row r="299" spans="1:12" x14ac:dyDescent="0.35">
      <c r="A299">
        <v>298</v>
      </c>
      <c r="B299" t="s">
        <v>12</v>
      </c>
      <c r="C299" s="1">
        <v>4.2</v>
      </c>
      <c r="D299">
        <v>88.2</v>
      </c>
      <c r="E299" s="1">
        <v>7.7</v>
      </c>
      <c r="F299" t="s">
        <v>18</v>
      </c>
      <c r="G299" s="2" t="s">
        <v>14</v>
      </c>
      <c r="H299" s="2" t="s">
        <v>14</v>
      </c>
      <c r="I299" t="s">
        <v>15</v>
      </c>
      <c r="J299">
        <v>69.900000000000006</v>
      </c>
      <c r="K299" s="1">
        <v>89.6</v>
      </c>
      <c r="L299" t="s">
        <v>20</v>
      </c>
    </row>
    <row r="300" spans="1:12" x14ac:dyDescent="0.35">
      <c r="A300">
        <v>299</v>
      </c>
      <c r="B300" t="s">
        <v>12</v>
      </c>
      <c r="C300" s="1">
        <v>1.7</v>
      </c>
      <c r="D300">
        <v>73.2</v>
      </c>
      <c r="E300" s="1">
        <v>7.2</v>
      </c>
      <c r="F300" t="s">
        <v>23</v>
      </c>
      <c r="G300" s="2" t="s">
        <v>15</v>
      </c>
      <c r="H300" s="2" t="s">
        <v>14</v>
      </c>
      <c r="I300" t="s">
        <v>15</v>
      </c>
      <c r="J300">
        <v>67.900000000000006</v>
      </c>
      <c r="K300" s="1">
        <v>69.2</v>
      </c>
      <c r="L300" t="s">
        <v>21</v>
      </c>
    </row>
    <row r="301" spans="1:12" x14ac:dyDescent="0.35">
      <c r="A301">
        <v>300</v>
      </c>
      <c r="B301" t="s">
        <v>17</v>
      </c>
      <c r="C301" s="1">
        <v>4.5999999999999996</v>
      </c>
      <c r="D301">
        <v>96.9</v>
      </c>
      <c r="E301" s="1">
        <v>7.2</v>
      </c>
      <c r="F301" t="s">
        <v>23</v>
      </c>
      <c r="G301" s="2" t="s">
        <v>14</v>
      </c>
      <c r="H301" s="2" t="s">
        <v>15</v>
      </c>
      <c r="I301" t="s">
        <v>14</v>
      </c>
      <c r="J301">
        <v>64.8</v>
      </c>
      <c r="K301" s="1">
        <v>82.3</v>
      </c>
      <c r="L301" t="s">
        <v>20</v>
      </c>
    </row>
    <row r="302" spans="1:12" x14ac:dyDescent="0.35">
      <c r="A302">
        <v>301</v>
      </c>
      <c r="B302" t="s">
        <v>12</v>
      </c>
      <c r="C302" s="1">
        <v>3.1</v>
      </c>
      <c r="D302">
        <v>80.400000000000006</v>
      </c>
      <c r="E302" s="1">
        <v>7.4</v>
      </c>
      <c r="F302" t="s">
        <v>13</v>
      </c>
      <c r="G302" s="2" t="s">
        <v>14</v>
      </c>
      <c r="H302" s="2" t="s">
        <v>14</v>
      </c>
      <c r="I302" t="s">
        <v>14</v>
      </c>
      <c r="J302">
        <v>75.3</v>
      </c>
      <c r="K302" s="1">
        <v>80.900000000000006</v>
      </c>
      <c r="L302" t="s">
        <v>20</v>
      </c>
    </row>
    <row r="303" spans="1:12" x14ac:dyDescent="0.35">
      <c r="A303">
        <v>302</v>
      </c>
      <c r="B303" t="s">
        <v>12</v>
      </c>
      <c r="C303" s="1">
        <v>2.9</v>
      </c>
      <c r="D303">
        <v>87</v>
      </c>
      <c r="E303" s="1">
        <v>5</v>
      </c>
      <c r="F303" t="s">
        <v>18</v>
      </c>
      <c r="G303" s="2" t="s">
        <v>14</v>
      </c>
      <c r="H303" s="2" t="s">
        <v>14</v>
      </c>
      <c r="I303" t="s">
        <v>15</v>
      </c>
      <c r="J303">
        <v>61</v>
      </c>
      <c r="K303" s="1">
        <v>82.4</v>
      </c>
      <c r="L303" t="s">
        <v>20</v>
      </c>
    </row>
    <row r="304" spans="1:12" x14ac:dyDescent="0.35">
      <c r="A304">
        <v>303</v>
      </c>
      <c r="B304" t="s">
        <v>12</v>
      </c>
      <c r="C304" s="1">
        <v>4.5999999999999996</v>
      </c>
      <c r="D304">
        <v>87.8</v>
      </c>
      <c r="E304" s="1">
        <v>7.7</v>
      </c>
      <c r="F304" t="s">
        <v>13</v>
      </c>
      <c r="G304" s="2" t="s">
        <v>14</v>
      </c>
      <c r="H304" s="2" t="s">
        <v>14</v>
      </c>
      <c r="I304" t="s">
        <v>15</v>
      </c>
      <c r="J304">
        <v>56.2</v>
      </c>
      <c r="K304" s="1">
        <v>91</v>
      </c>
      <c r="L304" t="s">
        <v>16</v>
      </c>
    </row>
    <row r="305" spans="1:12" x14ac:dyDescent="0.35">
      <c r="A305">
        <v>304</v>
      </c>
      <c r="B305" t="s">
        <v>17</v>
      </c>
      <c r="C305" s="1">
        <v>4.2</v>
      </c>
      <c r="D305">
        <v>82.4</v>
      </c>
      <c r="E305" s="1">
        <v>7.5</v>
      </c>
      <c r="F305" t="s">
        <v>18</v>
      </c>
      <c r="G305" s="2" t="s">
        <v>15</v>
      </c>
      <c r="H305" s="2" t="s">
        <v>15</v>
      </c>
      <c r="I305" t="s">
        <v>15</v>
      </c>
      <c r="J305">
        <v>71.3</v>
      </c>
      <c r="K305" s="1">
        <v>81.599999999999994</v>
      </c>
      <c r="L305" t="s">
        <v>20</v>
      </c>
    </row>
    <row r="306" spans="1:12" x14ac:dyDescent="0.35">
      <c r="A306">
        <v>305</v>
      </c>
      <c r="B306" t="s">
        <v>17</v>
      </c>
      <c r="C306" s="1">
        <v>3</v>
      </c>
      <c r="D306">
        <v>90.9</v>
      </c>
      <c r="E306" s="1">
        <v>5.6</v>
      </c>
      <c r="F306" t="s">
        <v>13</v>
      </c>
      <c r="G306" s="2" t="s">
        <v>14</v>
      </c>
      <c r="H306" s="2" t="s">
        <v>15</v>
      </c>
      <c r="I306" t="s">
        <v>14</v>
      </c>
      <c r="J306">
        <v>74.599999999999994</v>
      </c>
      <c r="K306" s="1">
        <v>83.2</v>
      </c>
      <c r="L306" t="s">
        <v>20</v>
      </c>
    </row>
    <row r="307" spans="1:12" x14ac:dyDescent="0.35">
      <c r="A307">
        <v>306</v>
      </c>
      <c r="B307" t="s">
        <v>12</v>
      </c>
      <c r="C307" s="1">
        <v>5.2</v>
      </c>
      <c r="D307">
        <v>80.3</v>
      </c>
      <c r="E307" s="1">
        <v>6.5</v>
      </c>
      <c r="F307" t="s">
        <v>13</v>
      </c>
      <c r="G307" s="2" t="s">
        <v>14</v>
      </c>
      <c r="H307" s="2" t="s">
        <v>14</v>
      </c>
      <c r="I307" t="s">
        <v>15</v>
      </c>
      <c r="J307">
        <v>55.9</v>
      </c>
      <c r="K307" s="1">
        <v>80.7</v>
      </c>
      <c r="L307" t="s">
        <v>20</v>
      </c>
    </row>
    <row r="308" spans="1:12" x14ac:dyDescent="0.35">
      <c r="A308">
        <v>307</v>
      </c>
      <c r="B308" t="s">
        <v>17</v>
      </c>
      <c r="C308" s="1">
        <v>1.9</v>
      </c>
      <c r="D308">
        <v>93.7</v>
      </c>
      <c r="E308" s="1">
        <v>6.8</v>
      </c>
      <c r="F308" t="s">
        <v>23</v>
      </c>
      <c r="G308" s="2" t="s">
        <v>14</v>
      </c>
      <c r="H308" s="2" t="s">
        <v>14</v>
      </c>
      <c r="I308" t="s">
        <v>14</v>
      </c>
      <c r="J308">
        <v>81.099999999999994</v>
      </c>
      <c r="K308" s="1">
        <v>87.2</v>
      </c>
      <c r="L308" t="s">
        <v>20</v>
      </c>
    </row>
    <row r="309" spans="1:12" x14ac:dyDescent="0.35">
      <c r="A309">
        <v>308</v>
      </c>
      <c r="B309" t="s">
        <v>17</v>
      </c>
      <c r="C309" s="1">
        <v>4.4000000000000004</v>
      </c>
      <c r="D309">
        <v>71.5</v>
      </c>
      <c r="E309" s="1">
        <v>6.6</v>
      </c>
      <c r="F309" t="s">
        <v>18</v>
      </c>
      <c r="G309" s="2" t="s">
        <v>14</v>
      </c>
      <c r="H309" s="2" t="s">
        <v>14</v>
      </c>
      <c r="I309" t="s">
        <v>14</v>
      </c>
      <c r="J309">
        <v>48.8</v>
      </c>
      <c r="K309" s="1">
        <v>72.8</v>
      </c>
      <c r="L309" t="s">
        <v>22</v>
      </c>
    </row>
    <row r="310" spans="1:12" x14ac:dyDescent="0.35">
      <c r="A310">
        <v>309</v>
      </c>
      <c r="B310" t="s">
        <v>17</v>
      </c>
      <c r="C310" s="1">
        <v>4.4000000000000004</v>
      </c>
      <c r="D310">
        <v>86.3</v>
      </c>
      <c r="E310" s="1">
        <v>7.2</v>
      </c>
      <c r="F310" t="s">
        <v>13</v>
      </c>
      <c r="G310" s="2" t="s">
        <v>14</v>
      </c>
      <c r="H310" s="2" t="s">
        <v>15</v>
      </c>
      <c r="I310" t="s">
        <v>15</v>
      </c>
      <c r="J310">
        <v>63.1</v>
      </c>
      <c r="K310" s="1">
        <v>85.2</v>
      </c>
      <c r="L310" t="s">
        <v>20</v>
      </c>
    </row>
    <row r="311" spans="1:12" x14ac:dyDescent="0.35">
      <c r="A311">
        <v>310</v>
      </c>
      <c r="B311" t="s">
        <v>17</v>
      </c>
      <c r="C311" s="1">
        <v>3</v>
      </c>
      <c r="D311">
        <v>100</v>
      </c>
      <c r="E311" s="1">
        <v>8.5</v>
      </c>
      <c r="F311" t="s">
        <v>18</v>
      </c>
      <c r="G311" s="2" t="s">
        <v>14</v>
      </c>
      <c r="H311" s="2" t="s">
        <v>15</v>
      </c>
      <c r="I311" t="s">
        <v>14</v>
      </c>
      <c r="J311">
        <v>66.900000000000006</v>
      </c>
      <c r="K311" s="1">
        <v>83.3</v>
      </c>
      <c r="L311" t="s">
        <v>20</v>
      </c>
    </row>
    <row r="312" spans="1:12" x14ac:dyDescent="0.35">
      <c r="A312">
        <v>311</v>
      </c>
      <c r="B312" t="s">
        <v>17</v>
      </c>
      <c r="C312" s="1">
        <v>4</v>
      </c>
      <c r="D312">
        <v>75</v>
      </c>
      <c r="E312" s="1">
        <v>8.1</v>
      </c>
      <c r="F312" t="s">
        <v>18</v>
      </c>
      <c r="G312" s="2" t="s">
        <v>14</v>
      </c>
      <c r="H312" s="2" t="s">
        <v>14</v>
      </c>
      <c r="I312" t="s">
        <v>15</v>
      </c>
      <c r="J312">
        <v>62.4</v>
      </c>
      <c r="K312" s="1">
        <v>82.6</v>
      </c>
      <c r="L312" t="s">
        <v>20</v>
      </c>
    </row>
    <row r="313" spans="1:12" x14ac:dyDescent="0.35">
      <c r="A313">
        <v>312</v>
      </c>
      <c r="B313" t="s">
        <v>12</v>
      </c>
      <c r="C313" s="1">
        <v>1.6</v>
      </c>
      <c r="D313">
        <v>78.2</v>
      </c>
      <c r="E313" s="1">
        <v>5.2</v>
      </c>
      <c r="F313" t="s">
        <v>23</v>
      </c>
      <c r="G313" s="2" t="s">
        <v>14</v>
      </c>
      <c r="H313" s="2" t="s">
        <v>15</v>
      </c>
      <c r="I313" t="s">
        <v>14</v>
      </c>
      <c r="J313">
        <v>63.2</v>
      </c>
      <c r="K313" s="1">
        <v>63.4</v>
      </c>
      <c r="L313" t="s">
        <v>21</v>
      </c>
    </row>
    <row r="314" spans="1:12" x14ac:dyDescent="0.35">
      <c r="A314">
        <v>313</v>
      </c>
      <c r="B314" t="s">
        <v>17</v>
      </c>
      <c r="C314" s="1">
        <v>4.9000000000000004</v>
      </c>
      <c r="D314">
        <v>90.1</v>
      </c>
      <c r="E314" s="1">
        <v>7.5</v>
      </c>
      <c r="F314" t="s">
        <v>19</v>
      </c>
      <c r="G314" s="2" t="s">
        <v>14</v>
      </c>
      <c r="H314" s="2" t="s">
        <v>14</v>
      </c>
      <c r="I314" t="s">
        <v>15</v>
      </c>
      <c r="J314">
        <v>92.5</v>
      </c>
      <c r="K314" s="1">
        <v>100</v>
      </c>
      <c r="L314" t="s">
        <v>16</v>
      </c>
    </row>
    <row r="315" spans="1:12" x14ac:dyDescent="0.35">
      <c r="A315">
        <v>314</v>
      </c>
      <c r="B315" t="s">
        <v>12</v>
      </c>
      <c r="C315" s="1">
        <v>3.2</v>
      </c>
      <c r="D315">
        <v>86.8</v>
      </c>
      <c r="E315" s="1">
        <v>8.4</v>
      </c>
      <c r="F315" t="s">
        <v>13</v>
      </c>
      <c r="G315" s="2" t="s">
        <v>14</v>
      </c>
      <c r="H315" s="2" t="s">
        <v>15</v>
      </c>
      <c r="I315" t="s">
        <v>15</v>
      </c>
      <c r="J315">
        <v>59.8</v>
      </c>
      <c r="K315" s="1">
        <v>79.400000000000006</v>
      </c>
      <c r="L315" t="s">
        <v>22</v>
      </c>
    </row>
    <row r="316" spans="1:12" x14ac:dyDescent="0.35">
      <c r="A316">
        <v>315</v>
      </c>
      <c r="B316" t="s">
        <v>12</v>
      </c>
      <c r="C316" s="1">
        <v>2.7</v>
      </c>
      <c r="D316">
        <v>88.5</v>
      </c>
      <c r="E316" s="1">
        <v>7.3</v>
      </c>
      <c r="F316" t="s">
        <v>23</v>
      </c>
      <c r="G316" s="2" t="s">
        <v>14</v>
      </c>
      <c r="H316" s="2" t="s">
        <v>14</v>
      </c>
      <c r="I316" t="s">
        <v>15</v>
      </c>
      <c r="J316">
        <v>99.3</v>
      </c>
      <c r="K316" s="1">
        <v>100</v>
      </c>
      <c r="L316" t="s">
        <v>16</v>
      </c>
    </row>
    <row r="317" spans="1:12" x14ac:dyDescent="0.35">
      <c r="A317">
        <v>316</v>
      </c>
      <c r="B317" t="s">
        <v>17</v>
      </c>
      <c r="C317" s="1">
        <v>5.0999999999999996</v>
      </c>
      <c r="D317">
        <v>89.9</v>
      </c>
      <c r="E317" s="1">
        <v>8.1</v>
      </c>
      <c r="F317" t="s">
        <v>24</v>
      </c>
      <c r="G317" s="2" t="s">
        <v>14</v>
      </c>
      <c r="H317" s="2" t="s">
        <v>14</v>
      </c>
      <c r="I317" t="s">
        <v>15</v>
      </c>
      <c r="J317">
        <v>75.2</v>
      </c>
      <c r="K317" s="1">
        <v>100</v>
      </c>
      <c r="L317" t="s">
        <v>16</v>
      </c>
    </row>
    <row r="318" spans="1:12" x14ac:dyDescent="0.35">
      <c r="A318">
        <v>317</v>
      </c>
      <c r="B318" t="s">
        <v>12</v>
      </c>
      <c r="C318" s="1">
        <v>2.4</v>
      </c>
      <c r="D318">
        <v>91.3</v>
      </c>
      <c r="E318" s="1">
        <v>9.1999999999999993</v>
      </c>
      <c r="F318" t="s">
        <v>23</v>
      </c>
      <c r="G318" s="2" t="s">
        <v>15</v>
      </c>
      <c r="H318" s="2" t="s">
        <v>14</v>
      </c>
      <c r="I318" t="s">
        <v>14</v>
      </c>
      <c r="J318">
        <v>71.099999999999994</v>
      </c>
      <c r="K318" s="1">
        <v>72.900000000000006</v>
      </c>
      <c r="L318" t="s">
        <v>22</v>
      </c>
    </row>
    <row r="319" spans="1:12" x14ac:dyDescent="0.35">
      <c r="A319">
        <v>318</v>
      </c>
      <c r="B319" t="s">
        <v>12</v>
      </c>
      <c r="C319" s="1">
        <v>1.4</v>
      </c>
      <c r="D319">
        <v>96.1</v>
      </c>
      <c r="E319" s="1">
        <v>8</v>
      </c>
      <c r="F319" t="s">
        <v>18</v>
      </c>
      <c r="G319" s="2" t="s">
        <v>15</v>
      </c>
      <c r="H319" s="2" t="s">
        <v>14</v>
      </c>
      <c r="I319" t="s">
        <v>15</v>
      </c>
      <c r="J319">
        <v>75.7</v>
      </c>
      <c r="K319" s="1">
        <v>79.2</v>
      </c>
      <c r="L319" t="s">
        <v>22</v>
      </c>
    </row>
    <row r="320" spans="1:12" x14ac:dyDescent="0.35">
      <c r="A320">
        <v>319</v>
      </c>
      <c r="B320" t="s">
        <v>12</v>
      </c>
      <c r="C320" s="1">
        <v>1.2</v>
      </c>
      <c r="D320">
        <v>89.1</v>
      </c>
      <c r="E320" s="1">
        <v>7.1</v>
      </c>
      <c r="F320" t="s">
        <v>19</v>
      </c>
      <c r="G320" s="2" t="s">
        <v>14</v>
      </c>
      <c r="H320" s="2" t="s">
        <v>15</v>
      </c>
      <c r="I320" t="s">
        <v>15</v>
      </c>
      <c r="J320">
        <v>100</v>
      </c>
      <c r="K320" s="1">
        <v>84.2</v>
      </c>
      <c r="L320" t="s">
        <v>20</v>
      </c>
    </row>
    <row r="321" spans="1:12" x14ac:dyDescent="0.35">
      <c r="A321">
        <v>320</v>
      </c>
      <c r="B321" t="s">
        <v>17</v>
      </c>
      <c r="C321" s="1">
        <v>4.4000000000000004</v>
      </c>
      <c r="D321">
        <v>82.6</v>
      </c>
      <c r="E321" s="1">
        <v>8.1</v>
      </c>
      <c r="F321" t="s">
        <v>13</v>
      </c>
      <c r="G321" s="2" t="s">
        <v>14</v>
      </c>
      <c r="H321" s="2" t="s">
        <v>14</v>
      </c>
      <c r="I321" t="s">
        <v>14</v>
      </c>
      <c r="J321">
        <v>58.1</v>
      </c>
      <c r="K321" s="1">
        <v>80.7</v>
      </c>
      <c r="L321" t="s">
        <v>20</v>
      </c>
    </row>
    <row r="322" spans="1:12" x14ac:dyDescent="0.35">
      <c r="A322">
        <v>321</v>
      </c>
      <c r="B322" t="s">
        <v>17</v>
      </c>
      <c r="C322" s="1">
        <v>1.6</v>
      </c>
      <c r="D322">
        <v>91.7</v>
      </c>
      <c r="E322" s="1">
        <v>7</v>
      </c>
      <c r="F322" t="s">
        <v>18</v>
      </c>
      <c r="G322" s="2" t="s">
        <v>14</v>
      </c>
      <c r="H322" s="2" t="s">
        <v>15</v>
      </c>
      <c r="I322" t="s">
        <v>15</v>
      </c>
      <c r="J322">
        <v>56.6</v>
      </c>
      <c r="K322" s="1">
        <v>85.3</v>
      </c>
      <c r="L322" t="s">
        <v>20</v>
      </c>
    </row>
    <row r="323" spans="1:12" x14ac:dyDescent="0.35">
      <c r="A323">
        <v>322</v>
      </c>
      <c r="B323" t="s">
        <v>12</v>
      </c>
      <c r="C323" s="1">
        <v>6.1</v>
      </c>
      <c r="D323">
        <v>100</v>
      </c>
      <c r="E323" s="1">
        <v>6.8</v>
      </c>
      <c r="F323" t="s">
        <v>18</v>
      </c>
      <c r="G323" s="2" t="s">
        <v>14</v>
      </c>
      <c r="H323" s="2" t="s">
        <v>15</v>
      </c>
      <c r="I323" t="s">
        <v>14</v>
      </c>
      <c r="J323">
        <v>60.9</v>
      </c>
      <c r="K323" s="1">
        <v>93.1</v>
      </c>
      <c r="L323" t="s">
        <v>16</v>
      </c>
    </row>
    <row r="324" spans="1:12" x14ac:dyDescent="0.35">
      <c r="A324">
        <v>323</v>
      </c>
      <c r="B324" t="s">
        <v>17</v>
      </c>
      <c r="C324" s="1">
        <v>0.5</v>
      </c>
      <c r="D324">
        <v>83.7</v>
      </c>
      <c r="E324" s="1">
        <v>6.4</v>
      </c>
      <c r="F324" t="s">
        <v>13</v>
      </c>
      <c r="G324" s="2" t="s">
        <v>14</v>
      </c>
      <c r="H324" s="2" t="s">
        <v>14</v>
      </c>
      <c r="I324" t="s">
        <v>15</v>
      </c>
      <c r="J324">
        <v>70.400000000000006</v>
      </c>
      <c r="K324" s="1">
        <v>73.5</v>
      </c>
      <c r="L324" t="s">
        <v>22</v>
      </c>
    </row>
    <row r="325" spans="1:12" x14ac:dyDescent="0.35">
      <c r="A325">
        <v>324</v>
      </c>
      <c r="B325" t="s">
        <v>17</v>
      </c>
      <c r="C325" s="1">
        <v>6</v>
      </c>
      <c r="D325">
        <v>75.3</v>
      </c>
      <c r="E325" s="1">
        <v>8.6999999999999993</v>
      </c>
      <c r="F325" t="s">
        <v>18</v>
      </c>
      <c r="G325" s="2" t="s">
        <v>14</v>
      </c>
      <c r="H325" s="2" t="s">
        <v>14</v>
      </c>
      <c r="I325" t="s">
        <v>15</v>
      </c>
      <c r="J325">
        <v>49.3</v>
      </c>
      <c r="K325" s="1">
        <v>90.8</v>
      </c>
      <c r="L325" t="s">
        <v>16</v>
      </c>
    </row>
    <row r="326" spans="1:12" x14ac:dyDescent="0.35">
      <c r="A326">
        <v>325</v>
      </c>
      <c r="B326" t="s">
        <v>17</v>
      </c>
      <c r="C326" s="1">
        <v>3.8</v>
      </c>
      <c r="D326">
        <v>96.1</v>
      </c>
      <c r="E326" s="1">
        <v>5.8</v>
      </c>
      <c r="F326" t="s">
        <v>18</v>
      </c>
      <c r="G326" s="2" t="s">
        <v>14</v>
      </c>
      <c r="H326" s="2" t="s">
        <v>14</v>
      </c>
      <c r="I326" t="s">
        <v>14</v>
      </c>
      <c r="J326">
        <v>70.3</v>
      </c>
      <c r="K326" s="1">
        <v>80.8</v>
      </c>
      <c r="L326" t="s">
        <v>20</v>
      </c>
    </row>
    <row r="327" spans="1:12" x14ac:dyDescent="0.35">
      <c r="A327">
        <v>326</v>
      </c>
      <c r="B327" t="s">
        <v>17</v>
      </c>
      <c r="C327" s="1">
        <v>3.4</v>
      </c>
      <c r="D327">
        <v>83.8</v>
      </c>
      <c r="E327" s="1">
        <v>8.6</v>
      </c>
      <c r="F327" t="s">
        <v>18</v>
      </c>
      <c r="G327" s="2" t="s">
        <v>14</v>
      </c>
      <c r="H327" s="2" t="s">
        <v>15</v>
      </c>
      <c r="I327" t="s">
        <v>15</v>
      </c>
      <c r="J327">
        <v>90.3</v>
      </c>
      <c r="K327" s="1">
        <v>88.9</v>
      </c>
      <c r="L327" t="s">
        <v>20</v>
      </c>
    </row>
    <row r="328" spans="1:12" x14ac:dyDescent="0.35">
      <c r="A328">
        <v>327</v>
      </c>
      <c r="B328" t="s">
        <v>12</v>
      </c>
      <c r="C328" s="1">
        <v>2.7</v>
      </c>
      <c r="D328">
        <v>63.3</v>
      </c>
      <c r="E328" s="1">
        <v>7.4</v>
      </c>
      <c r="F328" t="s">
        <v>23</v>
      </c>
      <c r="G328" s="2" t="s">
        <v>15</v>
      </c>
      <c r="H328" s="2" t="s">
        <v>14</v>
      </c>
      <c r="I328" t="s">
        <v>15</v>
      </c>
      <c r="J328">
        <v>71.8</v>
      </c>
      <c r="K328" s="1">
        <v>63.7</v>
      </c>
      <c r="L328" t="s">
        <v>21</v>
      </c>
    </row>
    <row r="329" spans="1:12" x14ac:dyDescent="0.35">
      <c r="A329">
        <v>328</v>
      </c>
      <c r="B329" t="s">
        <v>12</v>
      </c>
      <c r="C329" s="1">
        <v>4.0999999999999996</v>
      </c>
      <c r="D329">
        <v>93.5</v>
      </c>
      <c r="E329" s="1">
        <v>5.0999999999999996</v>
      </c>
      <c r="F329" t="s">
        <v>24</v>
      </c>
      <c r="G329" s="2" t="s">
        <v>14</v>
      </c>
      <c r="H329" s="2" t="s">
        <v>14</v>
      </c>
      <c r="I329" t="s">
        <v>15</v>
      </c>
      <c r="J329">
        <v>66.5</v>
      </c>
      <c r="K329" s="1">
        <v>82.6</v>
      </c>
      <c r="L329" t="s">
        <v>20</v>
      </c>
    </row>
    <row r="330" spans="1:12" x14ac:dyDescent="0.35">
      <c r="A330">
        <v>329</v>
      </c>
      <c r="B330" t="s">
        <v>17</v>
      </c>
      <c r="C330" s="1">
        <v>3.4</v>
      </c>
      <c r="D330">
        <v>79.599999999999994</v>
      </c>
      <c r="E330" s="1">
        <v>7.2</v>
      </c>
      <c r="F330" t="s">
        <v>18</v>
      </c>
      <c r="G330" s="2" t="s">
        <v>14</v>
      </c>
      <c r="H330" s="2" t="s">
        <v>14</v>
      </c>
      <c r="I330" t="s">
        <v>15</v>
      </c>
      <c r="J330">
        <v>62.6</v>
      </c>
      <c r="K330" s="1">
        <v>63.7</v>
      </c>
      <c r="L330" t="s">
        <v>21</v>
      </c>
    </row>
    <row r="331" spans="1:12" x14ac:dyDescent="0.35">
      <c r="A331">
        <v>330</v>
      </c>
      <c r="B331" t="s">
        <v>17</v>
      </c>
      <c r="C331" s="1">
        <v>5.2</v>
      </c>
      <c r="D331">
        <v>84.1</v>
      </c>
      <c r="E331" s="1">
        <v>4.3</v>
      </c>
      <c r="F331" t="s">
        <v>24</v>
      </c>
      <c r="G331" s="2" t="s">
        <v>14</v>
      </c>
      <c r="H331" s="2" t="s">
        <v>15</v>
      </c>
      <c r="I331" t="s">
        <v>15</v>
      </c>
      <c r="J331">
        <v>80.8</v>
      </c>
      <c r="K331" s="1">
        <v>96.6</v>
      </c>
      <c r="L331" t="s">
        <v>16</v>
      </c>
    </row>
    <row r="332" spans="1:12" x14ac:dyDescent="0.35">
      <c r="A332">
        <v>331</v>
      </c>
      <c r="B332" t="s">
        <v>12</v>
      </c>
      <c r="C332" s="1">
        <v>3.7</v>
      </c>
      <c r="D332">
        <v>88.3</v>
      </c>
      <c r="E332" s="1">
        <v>7.6</v>
      </c>
      <c r="F332" t="s">
        <v>24</v>
      </c>
      <c r="G332" s="2" t="s">
        <v>14</v>
      </c>
      <c r="H332" s="2" t="s">
        <v>14</v>
      </c>
      <c r="I332" t="s">
        <v>15</v>
      </c>
      <c r="J332">
        <v>60.1</v>
      </c>
      <c r="K332" s="1">
        <v>97</v>
      </c>
      <c r="L332" t="s">
        <v>16</v>
      </c>
    </row>
    <row r="333" spans="1:12" x14ac:dyDescent="0.35">
      <c r="A333">
        <v>332</v>
      </c>
      <c r="B333" t="s">
        <v>12</v>
      </c>
      <c r="C333" s="1">
        <v>3.7</v>
      </c>
      <c r="D333">
        <v>86.9</v>
      </c>
      <c r="E333" s="1">
        <v>7.9</v>
      </c>
      <c r="F333" t="s">
        <v>23</v>
      </c>
      <c r="G333" s="2" t="s">
        <v>15</v>
      </c>
      <c r="H333" s="2" t="s">
        <v>14</v>
      </c>
      <c r="I333" t="s">
        <v>15</v>
      </c>
      <c r="J333">
        <v>92.2</v>
      </c>
      <c r="K333" s="1">
        <v>93.3</v>
      </c>
      <c r="L333" t="s">
        <v>16</v>
      </c>
    </row>
    <row r="334" spans="1:12" x14ac:dyDescent="0.35">
      <c r="A334">
        <v>333</v>
      </c>
      <c r="B334" t="s">
        <v>17</v>
      </c>
      <c r="C334" s="1">
        <v>3</v>
      </c>
      <c r="D334">
        <v>92.1</v>
      </c>
      <c r="E334" s="1">
        <v>6.1</v>
      </c>
      <c r="F334" t="s">
        <v>18</v>
      </c>
      <c r="G334" s="2" t="s">
        <v>14</v>
      </c>
      <c r="H334" s="2" t="s">
        <v>14</v>
      </c>
      <c r="I334" t="s">
        <v>14</v>
      </c>
      <c r="J334">
        <v>93.2</v>
      </c>
      <c r="K334" s="1">
        <v>82.8</v>
      </c>
      <c r="L334" t="s">
        <v>20</v>
      </c>
    </row>
    <row r="335" spans="1:12" x14ac:dyDescent="0.35">
      <c r="A335">
        <v>334</v>
      </c>
      <c r="B335" t="s">
        <v>12</v>
      </c>
      <c r="C335" s="1">
        <v>3.4</v>
      </c>
      <c r="D335">
        <v>80.599999999999994</v>
      </c>
      <c r="E335" s="1">
        <v>6.9</v>
      </c>
      <c r="F335" t="s">
        <v>23</v>
      </c>
      <c r="G335" s="2" t="s">
        <v>14</v>
      </c>
      <c r="H335" s="2" t="s">
        <v>14</v>
      </c>
      <c r="I335" t="s">
        <v>15</v>
      </c>
      <c r="J335">
        <v>73.099999999999994</v>
      </c>
      <c r="K335" s="1">
        <v>81.2</v>
      </c>
      <c r="L335" t="s">
        <v>20</v>
      </c>
    </row>
    <row r="336" spans="1:12" x14ac:dyDescent="0.35">
      <c r="A336">
        <v>335</v>
      </c>
      <c r="B336" t="s">
        <v>17</v>
      </c>
      <c r="C336" s="1">
        <v>4</v>
      </c>
      <c r="D336">
        <v>90.1</v>
      </c>
      <c r="E336" s="1">
        <v>9.1</v>
      </c>
      <c r="F336" t="s">
        <v>19</v>
      </c>
      <c r="G336" s="2" t="s">
        <v>14</v>
      </c>
      <c r="H336" s="2" t="s">
        <v>15</v>
      </c>
      <c r="I336" t="s">
        <v>15</v>
      </c>
      <c r="J336">
        <v>69.900000000000006</v>
      </c>
      <c r="K336" s="1">
        <v>88.7</v>
      </c>
      <c r="L336" t="s">
        <v>20</v>
      </c>
    </row>
    <row r="337" spans="1:12" x14ac:dyDescent="0.35">
      <c r="A337">
        <v>336</v>
      </c>
      <c r="B337" t="s">
        <v>17</v>
      </c>
      <c r="C337" s="1">
        <v>0.9</v>
      </c>
      <c r="D337">
        <v>82.4</v>
      </c>
      <c r="E337" s="1">
        <v>6.2</v>
      </c>
      <c r="F337" t="s">
        <v>23</v>
      </c>
      <c r="G337" s="2" t="s">
        <v>14</v>
      </c>
      <c r="H337" s="2" t="s">
        <v>14</v>
      </c>
      <c r="I337" t="s">
        <v>15</v>
      </c>
      <c r="J337">
        <v>82.4</v>
      </c>
      <c r="K337" s="1">
        <v>71.2</v>
      </c>
      <c r="L337" t="s">
        <v>22</v>
      </c>
    </row>
    <row r="338" spans="1:12" x14ac:dyDescent="0.35">
      <c r="A338">
        <v>337</v>
      </c>
      <c r="B338" t="s">
        <v>12</v>
      </c>
      <c r="C338" s="1">
        <v>1.5</v>
      </c>
      <c r="D338">
        <v>92.4</v>
      </c>
      <c r="E338" s="1">
        <v>5.5</v>
      </c>
      <c r="F338" t="s">
        <v>18</v>
      </c>
      <c r="G338" s="2" t="s">
        <v>14</v>
      </c>
      <c r="H338" s="2" t="s">
        <v>15</v>
      </c>
      <c r="I338" t="s">
        <v>15</v>
      </c>
      <c r="J338">
        <v>83.1</v>
      </c>
      <c r="K338" s="1">
        <v>87.1</v>
      </c>
      <c r="L338" t="s">
        <v>20</v>
      </c>
    </row>
    <row r="339" spans="1:12" x14ac:dyDescent="0.35">
      <c r="A339">
        <v>338</v>
      </c>
      <c r="B339" t="s">
        <v>12</v>
      </c>
      <c r="C339" s="1">
        <v>4.5999999999999996</v>
      </c>
      <c r="D339">
        <v>91.2</v>
      </c>
      <c r="E339" s="1">
        <v>8.6</v>
      </c>
      <c r="F339" t="s">
        <v>13</v>
      </c>
      <c r="G339" s="2" t="s">
        <v>14</v>
      </c>
      <c r="H339" s="2" t="s">
        <v>15</v>
      </c>
      <c r="I339" t="s">
        <v>15</v>
      </c>
      <c r="J339">
        <v>60.3</v>
      </c>
      <c r="K339" s="1">
        <v>94.9</v>
      </c>
      <c r="L339" t="s">
        <v>16</v>
      </c>
    </row>
    <row r="340" spans="1:12" x14ac:dyDescent="0.35">
      <c r="A340">
        <v>339</v>
      </c>
      <c r="B340" t="s">
        <v>17</v>
      </c>
      <c r="C340" s="1">
        <v>3.8</v>
      </c>
      <c r="D340">
        <v>75.599999999999994</v>
      </c>
      <c r="E340" s="1">
        <v>9.1999999999999993</v>
      </c>
      <c r="F340" t="s">
        <v>13</v>
      </c>
      <c r="G340" s="2" t="s">
        <v>14</v>
      </c>
      <c r="H340" s="2" t="s">
        <v>15</v>
      </c>
      <c r="I340" t="s">
        <v>15</v>
      </c>
      <c r="J340">
        <v>63.7</v>
      </c>
      <c r="K340" s="1">
        <v>76.099999999999994</v>
      </c>
      <c r="L340" t="s">
        <v>22</v>
      </c>
    </row>
    <row r="341" spans="1:12" x14ac:dyDescent="0.35">
      <c r="A341">
        <v>340</v>
      </c>
      <c r="B341" t="s">
        <v>17</v>
      </c>
      <c r="C341" s="1">
        <v>3.2</v>
      </c>
      <c r="D341">
        <v>95.9</v>
      </c>
      <c r="E341" s="1">
        <v>6.8</v>
      </c>
      <c r="F341" t="s">
        <v>13</v>
      </c>
      <c r="G341" s="2" t="s">
        <v>14</v>
      </c>
      <c r="H341" s="2" t="s">
        <v>15</v>
      </c>
      <c r="I341" t="s">
        <v>15</v>
      </c>
      <c r="J341">
        <v>54.1</v>
      </c>
      <c r="K341" s="1">
        <v>85.1</v>
      </c>
      <c r="L341" t="s">
        <v>20</v>
      </c>
    </row>
    <row r="342" spans="1:12" x14ac:dyDescent="0.35">
      <c r="A342">
        <v>341</v>
      </c>
      <c r="B342" t="s">
        <v>12</v>
      </c>
      <c r="C342" s="1">
        <v>3.5</v>
      </c>
      <c r="D342">
        <v>79.599999999999994</v>
      </c>
      <c r="E342" s="1">
        <v>8</v>
      </c>
      <c r="F342" t="s">
        <v>18</v>
      </c>
      <c r="G342" s="2" t="s">
        <v>14</v>
      </c>
      <c r="H342" s="2" t="s">
        <v>14</v>
      </c>
      <c r="I342" t="s">
        <v>15</v>
      </c>
      <c r="J342">
        <v>74.900000000000006</v>
      </c>
      <c r="K342" s="1">
        <v>96.3</v>
      </c>
      <c r="L342" t="s">
        <v>16</v>
      </c>
    </row>
    <row r="343" spans="1:12" x14ac:dyDescent="0.35">
      <c r="A343">
        <v>342</v>
      </c>
      <c r="B343" t="s">
        <v>17</v>
      </c>
      <c r="C343" s="1">
        <v>4</v>
      </c>
      <c r="D343">
        <v>93.1</v>
      </c>
      <c r="E343" s="1">
        <v>8.4</v>
      </c>
      <c r="F343" t="s">
        <v>18</v>
      </c>
      <c r="G343" s="2" t="s">
        <v>14</v>
      </c>
      <c r="H343" s="2" t="s">
        <v>14</v>
      </c>
      <c r="I343" t="s">
        <v>15</v>
      </c>
      <c r="J343">
        <v>78</v>
      </c>
      <c r="K343" s="1">
        <v>100</v>
      </c>
      <c r="L343" t="s">
        <v>16</v>
      </c>
    </row>
    <row r="344" spans="1:12" x14ac:dyDescent="0.35">
      <c r="A344">
        <v>343</v>
      </c>
      <c r="B344" t="s">
        <v>12</v>
      </c>
      <c r="C344" s="1">
        <v>2.7</v>
      </c>
      <c r="D344">
        <v>88.7</v>
      </c>
      <c r="E344" s="1">
        <v>5.9</v>
      </c>
      <c r="F344" t="s">
        <v>23</v>
      </c>
      <c r="G344" s="2" t="s">
        <v>14</v>
      </c>
      <c r="H344" s="2" t="s">
        <v>15</v>
      </c>
      <c r="I344" t="s">
        <v>15</v>
      </c>
      <c r="J344">
        <v>53.8</v>
      </c>
      <c r="K344" s="1">
        <v>92</v>
      </c>
      <c r="L344" t="s">
        <v>16</v>
      </c>
    </row>
    <row r="345" spans="1:12" x14ac:dyDescent="0.35">
      <c r="A345">
        <v>344</v>
      </c>
      <c r="B345" t="s">
        <v>17</v>
      </c>
      <c r="C345" s="1">
        <v>2.2999999999999998</v>
      </c>
      <c r="D345">
        <v>100</v>
      </c>
      <c r="E345" s="1">
        <v>6.2</v>
      </c>
      <c r="F345" t="s">
        <v>24</v>
      </c>
      <c r="G345" s="2" t="s">
        <v>14</v>
      </c>
      <c r="H345" s="2" t="s">
        <v>14</v>
      </c>
      <c r="I345" t="s">
        <v>15</v>
      </c>
      <c r="J345">
        <v>64.5</v>
      </c>
      <c r="K345" s="1">
        <v>77.2</v>
      </c>
      <c r="L345" t="s">
        <v>22</v>
      </c>
    </row>
    <row r="346" spans="1:12" x14ac:dyDescent="0.35">
      <c r="A346">
        <v>345</v>
      </c>
      <c r="B346" t="s">
        <v>12</v>
      </c>
      <c r="C346" s="1">
        <v>3.8</v>
      </c>
      <c r="D346">
        <v>82.8</v>
      </c>
      <c r="E346" s="1">
        <v>8.3000000000000007</v>
      </c>
      <c r="F346" t="s">
        <v>18</v>
      </c>
      <c r="G346" s="2" t="s">
        <v>14</v>
      </c>
      <c r="H346" s="2" t="s">
        <v>15</v>
      </c>
      <c r="I346" t="s">
        <v>15</v>
      </c>
      <c r="J346">
        <v>53.8</v>
      </c>
      <c r="K346" s="1">
        <v>97.5</v>
      </c>
      <c r="L346" t="s">
        <v>16</v>
      </c>
    </row>
    <row r="347" spans="1:12" x14ac:dyDescent="0.35">
      <c r="A347">
        <v>346</v>
      </c>
      <c r="B347" t="s">
        <v>12</v>
      </c>
      <c r="C347" s="1">
        <v>2</v>
      </c>
      <c r="D347">
        <v>81.5</v>
      </c>
      <c r="E347" s="1">
        <v>8.8000000000000007</v>
      </c>
      <c r="F347" t="s">
        <v>19</v>
      </c>
      <c r="G347" s="2" t="s">
        <v>14</v>
      </c>
      <c r="H347" s="2" t="s">
        <v>14</v>
      </c>
      <c r="I347" t="s">
        <v>14</v>
      </c>
      <c r="J347">
        <v>59.2</v>
      </c>
      <c r="K347" s="1">
        <v>70.599999999999994</v>
      </c>
      <c r="L347" t="s">
        <v>22</v>
      </c>
    </row>
    <row r="348" spans="1:12" x14ac:dyDescent="0.35">
      <c r="A348">
        <v>347</v>
      </c>
      <c r="B348" t="s">
        <v>12</v>
      </c>
      <c r="C348" s="1">
        <v>4.0999999999999996</v>
      </c>
      <c r="D348">
        <v>84.8</v>
      </c>
      <c r="E348" s="1">
        <v>7.5</v>
      </c>
      <c r="F348" t="s">
        <v>18</v>
      </c>
      <c r="G348" s="2" t="s">
        <v>14</v>
      </c>
      <c r="H348" s="2" t="s">
        <v>15</v>
      </c>
      <c r="I348" t="s">
        <v>15</v>
      </c>
      <c r="J348">
        <v>76.599999999999994</v>
      </c>
      <c r="K348" s="1">
        <v>87.2</v>
      </c>
      <c r="L348" t="s">
        <v>20</v>
      </c>
    </row>
    <row r="349" spans="1:12" x14ac:dyDescent="0.35">
      <c r="A349">
        <v>348</v>
      </c>
      <c r="B349" t="s">
        <v>17</v>
      </c>
      <c r="C349" s="1">
        <v>0.9</v>
      </c>
      <c r="D349">
        <v>82</v>
      </c>
      <c r="E349" s="1">
        <v>5.7</v>
      </c>
      <c r="F349" t="s">
        <v>23</v>
      </c>
      <c r="G349" s="2" t="s">
        <v>14</v>
      </c>
      <c r="H349" s="2" t="s">
        <v>15</v>
      </c>
      <c r="I349" t="s">
        <v>15</v>
      </c>
      <c r="J349">
        <v>61.2</v>
      </c>
      <c r="K349" s="1">
        <v>69</v>
      </c>
      <c r="L349" t="s">
        <v>21</v>
      </c>
    </row>
    <row r="350" spans="1:12" x14ac:dyDescent="0.35">
      <c r="A350">
        <v>349</v>
      </c>
      <c r="B350" t="s">
        <v>17</v>
      </c>
      <c r="C350" s="1">
        <v>5</v>
      </c>
      <c r="D350">
        <v>93</v>
      </c>
      <c r="E350" s="1">
        <v>9.1999999999999993</v>
      </c>
      <c r="F350" t="s">
        <v>23</v>
      </c>
      <c r="G350" s="2" t="s">
        <v>14</v>
      </c>
      <c r="H350" s="2" t="s">
        <v>14</v>
      </c>
      <c r="I350" t="s">
        <v>14</v>
      </c>
      <c r="J350">
        <v>66.400000000000006</v>
      </c>
      <c r="K350" s="1">
        <v>90.2</v>
      </c>
      <c r="L350" t="s">
        <v>16</v>
      </c>
    </row>
    <row r="351" spans="1:12" x14ac:dyDescent="0.35">
      <c r="A351">
        <v>350</v>
      </c>
      <c r="B351" t="s">
        <v>12</v>
      </c>
      <c r="C351" s="1">
        <v>4.2</v>
      </c>
      <c r="D351">
        <v>68.8</v>
      </c>
      <c r="E351" s="1">
        <v>6.2</v>
      </c>
      <c r="F351" t="s">
        <v>23</v>
      </c>
      <c r="G351" s="2" t="s">
        <v>14</v>
      </c>
      <c r="H351" s="2" t="s">
        <v>14</v>
      </c>
      <c r="I351" t="s">
        <v>14</v>
      </c>
      <c r="J351">
        <v>50.5</v>
      </c>
      <c r="K351" s="1">
        <v>74</v>
      </c>
      <c r="L351" t="s">
        <v>22</v>
      </c>
    </row>
    <row r="352" spans="1:12" x14ac:dyDescent="0.35">
      <c r="A352">
        <v>351</v>
      </c>
      <c r="B352" t="s">
        <v>17</v>
      </c>
      <c r="C352" s="1">
        <v>3.9</v>
      </c>
      <c r="D352">
        <v>74.5</v>
      </c>
      <c r="E352" s="1">
        <v>6.4</v>
      </c>
      <c r="F352" t="s">
        <v>19</v>
      </c>
      <c r="G352" s="2" t="s">
        <v>14</v>
      </c>
      <c r="H352" s="2" t="s">
        <v>15</v>
      </c>
      <c r="I352" t="s">
        <v>15</v>
      </c>
      <c r="J352">
        <v>72.2</v>
      </c>
      <c r="K352" s="1">
        <v>75.3</v>
      </c>
      <c r="L352" t="s">
        <v>22</v>
      </c>
    </row>
    <row r="353" spans="1:12" x14ac:dyDescent="0.35">
      <c r="A353">
        <v>352</v>
      </c>
      <c r="B353" t="s">
        <v>12</v>
      </c>
      <c r="C353" s="1">
        <v>5</v>
      </c>
      <c r="D353">
        <v>74.3</v>
      </c>
      <c r="E353" s="1">
        <v>7.2</v>
      </c>
      <c r="F353" t="s">
        <v>18</v>
      </c>
      <c r="G353" s="2" t="s">
        <v>14</v>
      </c>
      <c r="H353" s="2" t="s">
        <v>15</v>
      </c>
      <c r="I353" t="s">
        <v>15</v>
      </c>
      <c r="J353">
        <v>69.5</v>
      </c>
      <c r="K353" s="1">
        <v>86.5</v>
      </c>
      <c r="L353" t="s">
        <v>20</v>
      </c>
    </row>
    <row r="354" spans="1:12" x14ac:dyDescent="0.35">
      <c r="A354">
        <v>353</v>
      </c>
      <c r="B354" t="s">
        <v>12</v>
      </c>
      <c r="C354" s="1">
        <v>6</v>
      </c>
      <c r="D354">
        <v>94.5</v>
      </c>
      <c r="E354" s="1">
        <v>8.6999999999999993</v>
      </c>
      <c r="F354" t="s">
        <v>24</v>
      </c>
      <c r="G354" s="2" t="s">
        <v>14</v>
      </c>
      <c r="H354" s="2" t="s">
        <v>14</v>
      </c>
      <c r="I354" t="s">
        <v>15</v>
      </c>
      <c r="J354">
        <v>61.3</v>
      </c>
      <c r="K354" s="1">
        <v>100</v>
      </c>
      <c r="L354" t="s">
        <v>16</v>
      </c>
    </row>
    <row r="355" spans="1:12" x14ac:dyDescent="0.35">
      <c r="A355">
        <v>354</v>
      </c>
      <c r="B355" t="s">
        <v>17</v>
      </c>
      <c r="C355" s="1">
        <v>5</v>
      </c>
      <c r="D355">
        <v>100</v>
      </c>
      <c r="E355" s="1">
        <v>7.8</v>
      </c>
      <c r="F355" t="s">
        <v>18</v>
      </c>
      <c r="G355" s="2" t="s">
        <v>14</v>
      </c>
      <c r="H355" s="2" t="s">
        <v>15</v>
      </c>
      <c r="I355" t="s">
        <v>14</v>
      </c>
      <c r="J355">
        <v>67.7</v>
      </c>
      <c r="K355" s="1">
        <v>93.6</v>
      </c>
      <c r="L355" t="s">
        <v>16</v>
      </c>
    </row>
    <row r="356" spans="1:12" x14ac:dyDescent="0.35">
      <c r="A356">
        <v>355</v>
      </c>
      <c r="B356" t="s">
        <v>17</v>
      </c>
      <c r="C356" s="1">
        <v>0.7</v>
      </c>
      <c r="D356">
        <v>84</v>
      </c>
      <c r="E356" s="1">
        <v>7.3</v>
      </c>
      <c r="F356" t="s">
        <v>23</v>
      </c>
      <c r="G356" s="2" t="s">
        <v>14</v>
      </c>
      <c r="H356" s="2" t="s">
        <v>14</v>
      </c>
      <c r="I356" t="s">
        <v>14</v>
      </c>
      <c r="J356">
        <v>72.2</v>
      </c>
      <c r="K356" s="1">
        <v>72</v>
      </c>
      <c r="L356" t="s">
        <v>22</v>
      </c>
    </row>
    <row r="357" spans="1:12" x14ac:dyDescent="0.35">
      <c r="A357">
        <v>356</v>
      </c>
      <c r="B357" t="s">
        <v>12</v>
      </c>
      <c r="C357" s="1">
        <v>1.6</v>
      </c>
      <c r="D357">
        <v>83.3</v>
      </c>
      <c r="E357" s="1">
        <v>7.4</v>
      </c>
      <c r="F357" t="s">
        <v>23</v>
      </c>
      <c r="G357" s="2" t="s">
        <v>14</v>
      </c>
      <c r="H357" s="2" t="s">
        <v>14</v>
      </c>
      <c r="I357" t="s">
        <v>15</v>
      </c>
      <c r="J357">
        <v>60.2</v>
      </c>
      <c r="K357" s="1">
        <v>76.2</v>
      </c>
      <c r="L357" t="s">
        <v>22</v>
      </c>
    </row>
    <row r="358" spans="1:12" x14ac:dyDescent="0.35">
      <c r="A358">
        <v>357</v>
      </c>
      <c r="B358" t="s">
        <v>17</v>
      </c>
      <c r="C358" s="1">
        <v>2.6</v>
      </c>
      <c r="D358">
        <v>85.7</v>
      </c>
      <c r="E358" s="1">
        <v>6.9</v>
      </c>
      <c r="F358" t="s">
        <v>23</v>
      </c>
      <c r="G358" s="2" t="s">
        <v>14</v>
      </c>
      <c r="H358" s="2" t="s">
        <v>15</v>
      </c>
      <c r="I358" t="s">
        <v>15</v>
      </c>
      <c r="J358">
        <v>52.3</v>
      </c>
      <c r="K358" s="1">
        <v>80.900000000000006</v>
      </c>
      <c r="L358" t="s">
        <v>20</v>
      </c>
    </row>
    <row r="359" spans="1:12" x14ac:dyDescent="0.35">
      <c r="A359">
        <v>358</v>
      </c>
      <c r="B359" t="s">
        <v>17</v>
      </c>
      <c r="C359" s="1">
        <v>3.5</v>
      </c>
      <c r="D359">
        <v>96.6</v>
      </c>
      <c r="E359" s="1">
        <v>7.5</v>
      </c>
      <c r="F359" t="s">
        <v>18</v>
      </c>
      <c r="G359" s="2" t="s">
        <v>14</v>
      </c>
      <c r="H359" s="2" t="s">
        <v>15</v>
      </c>
      <c r="I359" t="s">
        <v>14</v>
      </c>
      <c r="J359">
        <v>91.7</v>
      </c>
      <c r="K359" s="1">
        <v>85.3</v>
      </c>
      <c r="L359" t="s">
        <v>20</v>
      </c>
    </row>
    <row r="360" spans="1:12" x14ac:dyDescent="0.35">
      <c r="A360">
        <v>359</v>
      </c>
      <c r="B360" t="s">
        <v>12</v>
      </c>
      <c r="C360" s="1">
        <v>4.3</v>
      </c>
      <c r="D360">
        <v>75.7</v>
      </c>
      <c r="E360" s="1">
        <v>3.8</v>
      </c>
      <c r="F360" t="s">
        <v>24</v>
      </c>
      <c r="G360" s="2" t="s">
        <v>14</v>
      </c>
      <c r="H360" s="2" t="s">
        <v>15</v>
      </c>
      <c r="I360" t="s">
        <v>15</v>
      </c>
      <c r="J360">
        <v>62.4</v>
      </c>
      <c r="K360" s="1">
        <v>81.900000000000006</v>
      </c>
      <c r="L360" t="s">
        <v>20</v>
      </c>
    </row>
    <row r="361" spans="1:12" x14ac:dyDescent="0.35">
      <c r="A361">
        <v>360</v>
      </c>
      <c r="B361" t="s">
        <v>12</v>
      </c>
      <c r="C361" s="1">
        <v>2.4</v>
      </c>
      <c r="D361">
        <v>87.4</v>
      </c>
      <c r="E361" s="1">
        <v>6.4</v>
      </c>
      <c r="F361" t="s">
        <v>18</v>
      </c>
      <c r="G361" s="2" t="s">
        <v>14</v>
      </c>
      <c r="H361" s="2" t="s">
        <v>15</v>
      </c>
      <c r="I361" t="s">
        <v>15</v>
      </c>
      <c r="J361">
        <v>68.8</v>
      </c>
      <c r="K361" s="1">
        <v>78</v>
      </c>
      <c r="L361" t="s">
        <v>22</v>
      </c>
    </row>
    <row r="362" spans="1:12" x14ac:dyDescent="0.35">
      <c r="A362">
        <v>361</v>
      </c>
      <c r="B362" t="s">
        <v>17</v>
      </c>
      <c r="C362" s="1">
        <v>3.8</v>
      </c>
      <c r="D362">
        <v>94.8</v>
      </c>
      <c r="E362" s="1">
        <v>7.1</v>
      </c>
      <c r="F362" t="s">
        <v>18</v>
      </c>
      <c r="G362" s="2" t="s">
        <v>14</v>
      </c>
      <c r="H362" s="2" t="s">
        <v>14</v>
      </c>
      <c r="I362" t="s">
        <v>14</v>
      </c>
      <c r="J362">
        <v>82.1</v>
      </c>
      <c r="K362" s="1">
        <v>93.6</v>
      </c>
      <c r="L362" t="s">
        <v>16</v>
      </c>
    </row>
    <row r="363" spans="1:12" x14ac:dyDescent="0.35">
      <c r="A363">
        <v>362</v>
      </c>
      <c r="B363" t="s">
        <v>12</v>
      </c>
      <c r="C363" s="1">
        <v>2.4</v>
      </c>
      <c r="D363">
        <v>90</v>
      </c>
      <c r="E363" s="1">
        <v>5.4</v>
      </c>
      <c r="F363" t="s">
        <v>23</v>
      </c>
      <c r="G363" s="2" t="s">
        <v>14</v>
      </c>
      <c r="H363" s="2" t="s">
        <v>15</v>
      </c>
      <c r="I363" t="s">
        <v>14</v>
      </c>
      <c r="J363">
        <v>100</v>
      </c>
      <c r="K363" s="1">
        <v>95.1</v>
      </c>
      <c r="L363" t="s">
        <v>16</v>
      </c>
    </row>
    <row r="364" spans="1:12" x14ac:dyDescent="0.35">
      <c r="A364">
        <v>363</v>
      </c>
      <c r="B364" t="s">
        <v>12</v>
      </c>
      <c r="C364" s="1">
        <v>2.6</v>
      </c>
      <c r="D364">
        <v>86.9</v>
      </c>
      <c r="E364" s="1">
        <v>7.3</v>
      </c>
      <c r="F364" t="s">
        <v>13</v>
      </c>
      <c r="G364" s="2" t="s">
        <v>14</v>
      </c>
      <c r="H364" s="2" t="s">
        <v>14</v>
      </c>
      <c r="I364" t="s">
        <v>14</v>
      </c>
      <c r="J364">
        <v>55.1</v>
      </c>
      <c r="K364" s="1">
        <v>66.7</v>
      </c>
      <c r="L364" t="s">
        <v>21</v>
      </c>
    </row>
    <row r="365" spans="1:12" x14ac:dyDescent="0.35">
      <c r="A365">
        <v>364</v>
      </c>
      <c r="B365" t="s">
        <v>17</v>
      </c>
      <c r="C365" s="1">
        <v>1.4</v>
      </c>
      <c r="D365">
        <v>95</v>
      </c>
      <c r="E365" s="1">
        <v>6.6</v>
      </c>
      <c r="F365" t="s">
        <v>23</v>
      </c>
      <c r="G365" s="2" t="s">
        <v>14</v>
      </c>
      <c r="H365" s="2" t="s">
        <v>14</v>
      </c>
      <c r="I365" t="s">
        <v>15</v>
      </c>
      <c r="J365">
        <v>75.400000000000006</v>
      </c>
      <c r="K365" s="1">
        <v>75.599999999999994</v>
      </c>
      <c r="L365" t="s">
        <v>22</v>
      </c>
    </row>
    <row r="366" spans="1:12" x14ac:dyDescent="0.35">
      <c r="A366">
        <v>365</v>
      </c>
      <c r="B366" t="s">
        <v>12</v>
      </c>
      <c r="C366" s="1">
        <v>2.1</v>
      </c>
      <c r="D366">
        <v>58</v>
      </c>
      <c r="E366" s="1">
        <v>8.9</v>
      </c>
      <c r="F366" t="s">
        <v>13</v>
      </c>
      <c r="G366" s="2" t="s">
        <v>14</v>
      </c>
      <c r="H366" s="2" t="s">
        <v>14</v>
      </c>
      <c r="I366" t="s">
        <v>15</v>
      </c>
      <c r="J366">
        <v>61.5</v>
      </c>
      <c r="K366" s="1">
        <v>57.4</v>
      </c>
      <c r="L366" t="s">
        <v>25</v>
      </c>
    </row>
    <row r="367" spans="1:12" x14ac:dyDescent="0.35">
      <c r="A367">
        <v>366</v>
      </c>
      <c r="B367" t="s">
        <v>12</v>
      </c>
      <c r="C367" s="1">
        <v>1.5</v>
      </c>
      <c r="D367">
        <v>91.8</v>
      </c>
      <c r="E367" s="1">
        <v>8.6999999999999993</v>
      </c>
      <c r="F367" t="s">
        <v>18</v>
      </c>
      <c r="G367" s="2" t="s">
        <v>14</v>
      </c>
      <c r="H367" s="2" t="s">
        <v>14</v>
      </c>
      <c r="I367" t="s">
        <v>15</v>
      </c>
      <c r="J367">
        <v>63.5</v>
      </c>
      <c r="K367" s="1">
        <v>75.400000000000006</v>
      </c>
      <c r="L367" t="s">
        <v>22</v>
      </c>
    </row>
    <row r="368" spans="1:12" x14ac:dyDescent="0.35">
      <c r="A368">
        <v>367</v>
      </c>
      <c r="B368" t="s">
        <v>17</v>
      </c>
      <c r="C368" s="1">
        <v>2</v>
      </c>
      <c r="D368">
        <v>78.5</v>
      </c>
      <c r="E368" s="1">
        <v>6.2</v>
      </c>
      <c r="F368" t="s">
        <v>23</v>
      </c>
      <c r="G368" s="2" t="s">
        <v>14</v>
      </c>
      <c r="H368" s="2" t="s">
        <v>14</v>
      </c>
      <c r="I368" t="s">
        <v>15</v>
      </c>
      <c r="J368">
        <v>61.4</v>
      </c>
      <c r="K368" s="1">
        <v>80.5</v>
      </c>
      <c r="L368" t="s">
        <v>20</v>
      </c>
    </row>
    <row r="369" spans="1:12" x14ac:dyDescent="0.35">
      <c r="A369">
        <v>368</v>
      </c>
      <c r="B369" t="s">
        <v>17</v>
      </c>
      <c r="C369" s="1">
        <v>5.0999999999999996</v>
      </c>
      <c r="D369">
        <v>66.7</v>
      </c>
      <c r="E369" s="1">
        <v>6.6</v>
      </c>
      <c r="F369" t="s">
        <v>13</v>
      </c>
      <c r="G369" s="2" t="s">
        <v>15</v>
      </c>
      <c r="H369" s="2" t="s">
        <v>14</v>
      </c>
      <c r="I369" t="s">
        <v>15</v>
      </c>
      <c r="J369">
        <v>56.5</v>
      </c>
      <c r="K369" s="1">
        <v>75.099999999999994</v>
      </c>
      <c r="L369" t="s">
        <v>22</v>
      </c>
    </row>
    <row r="370" spans="1:12" x14ac:dyDescent="0.35">
      <c r="A370">
        <v>369</v>
      </c>
      <c r="B370" t="s">
        <v>12</v>
      </c>
      <c r="C370" s="1">
        <v>2.1</v>
      </c>
      <c r="D370">
        <v>90.1</v>
      </c>
      <c r="E370" s="1">
        <v>6.7</v>
      </c>
      <c r="F370" t="s">
        <v>18</v>
      </c>
      <c r="G370" s="2" t="s">
        <v>15</v>
      </c>
      <c r="H370" s="2" t="s">
        <v>14</v>
      </c>
      <c r="I370" t="s">
        <v>15</v>
      </c>
      <c r="J370">
        <v>69.5</v>
      </c>
      <c r="K370" s="1">
        <v>67.8</v>
      </c>
      <c r="L370" t="s">
        <v>21</v>
      </c>
    </row>
    <row r="371" spans="1:12" x14ac:dyDescent="0.35">
      <c r="A371">
        <v>370</v>
      </c>
      <c r="B371" t="s">
        <v>12</v>
      </c>
      <c r="C371" s="1">
        <v>7.4</v>
      </c>
      <c r="D371">
        <v>98.7</v>
      </c>
      <c r="E371" s="1">
        <v>6.3</v>
      </c>
      <c r="F371" t="s">
        <v>23</v>
      </c>
      <c r="G371" s="2" t="s">
        <v>14</v>
      </c>
      <c r="H371" s="2" t="s">
        <v>14</v>
      </c>
      <c r="I371" t="s">
        <v>15</v>
      </c>
      <c r="J371">
        <v>52.3</v>
      </c>
      <c r="K371" s="1">
        <v>97.4</v>
      </c>
      <c r="L371" t="s">
        <v>16</v>
      </c>
    </row>
    <row r="372" spans="1:12" x14ac:dyDescent="0.35">
      <c r="A372">
        <v>371</v>
      </c>
      <c r="B372" t="s">
        <v>17</v>
      </c>
      <c r="C372" s="1">
        <v>4.2</v>
      </c>
      <c r="D372">
        <v>83.6</v>
      </c>
      <c r="E372" s="1">
        <v>7</v>
      </c>
      <c r="F372" t="s">
        <v>13</v>
      </c>
      <c r="G372" s="2" t="s">
        <v>14</v>
      </c>
      <c r="H372" s="2" t="s">
        <v>15</v>
      </c>
      <c r="I372" t="s">
        <v>14</v>
      </c>
      <c r="J372">
        <v>81.400000000000006</v>
      </c>
      <c r="K372" s="1">
        <v>80.2</v>
      </c>
      <c r="L372" t="s">
        <v>20</v>
      </c>
    </row>
    <row r="373" spans="1:12" x14ac:dyDescent="0.35">
      <c r="A373">
        <v>372</v>
      </c>
      <c r="B373" t="s">
        <v>17</v>
      </c>
      <c r="C373" s="1">
        <v>3.8</v>
      </c>
      <c r="D373">
        <v>94.5</v>
      </c>
      <c r="E373" s="1">
        <v>5.9</v>
      </c>
      <c r="F373" t="s">
        <v>13</v>
      </c>
      <c r="G373" s="2" t="s">
        <v>14</v>
      </c>
      <c r="H373" s="2" t="s">
        <v>14</v>
      </c>
      <c r="I373" t="s">
        <v>15</v>
      </c>
      <c r="J373">
        <v>70.7</v>
      </c>
      <c r="K373" s="1">
        <v>82.8</v>
      </c>
      <c r="L373" t="s">
        <v>20</v>
      </c>
    </row>
    <row r="374" spans="1:12" x14ac:dyDescent="0.35">
      <c r="A374">
        <v>373</v>
      </c>
      <c r="B374" t="s">
        <v>17</v>
      </c>
      <c r="C374" s="1">
        <v>2.2000000000000002</v>
      </c>
      <c r="D374">
        <v>100</v>
      </c>
      <c r="E374" s="1">
        <v>5.4</v>
      </c>
      <c r="F374" t="s">
        <v>13</v>
      </c>
      <c r="G374" s="2" t="s">
        <v>14</v>
      </c>
      <c r="H374" s="2" t="s">
        <v>14</v>
      </c>
      <c r="I374" t="s">
        <v>15</v>
      </c>
      <c r="J374">
        <v>75.099999999999994</v>
      </c>
      <c r="K374" s="1">
        <v>87.8</v>
      </c>
      <c r="L374" t="s">
        <v>20</v>
      </c>
    </row>
    <row r="375" spans="1:12" x14ac:dyDescent="0.35">
      <c r="A375">
        <v>374</v>
      </c>
      <c r="B375" t="s">
        <v>17</v>
      </c>
      <c r="C375" s="1">
        <v>4.5999999999999996</v>
      </c>
      <c r="D375">
        <v>98.1</v>
      </c>
      <c r="E375" s="1">
        <v>7.5</v>
      </c>
      <c r="F375" t="s">
        <v>23</v>
      </c>
      <c r="G375" s="2" t="s">
        <v>14</v>
      </c>
      <c r="H375" s="2" t="s">
        <v>15</v>
      </c>
      <c r="I375" t="s">
        <v>15</v>
      </c>
      <c r="J375">
        <v>64.400000000000006</v>
      </c>
      <c r="K375" s="1">
        <v>85.8</v>
      </c>
      <c r="L375" t="s">
        <v>20</v>
      </c>
    </row>
    <row r="376" spans="1:12" x14ac:dyDescent="0.35">
      <c r="A376">
        <v>375</v>
      </c>
      <c r="B376" t="s">
        <v>12</v>
      </c>
      <c r="C376" s="1">
        <v>2.6</v>
      </c>
      <c r="D376">
        <v>100</v>
      </c>
      <c r="E376" s="1">
        <v>7.6</v>
      </c>
      <c r="F376" t="s">
        <v>23</v>
      </c>
      <c r="G376" s="2" t="s">
        <v>14</v>
      </c>
      <c r="H376" s="2" t="s">
        <v>15</v>
      </c>
      <c r="I376" t="s">
        <v>15</v>
      </c>
      <c r="J376">
        <v>65.599999999999994</v>
      </c>
      <c r="K376" s="1">
        <v>91.7</v>
      </c>
      <c r="L376" t="s">
        <v>16</v>
      </c>
    </row>
    <row r="377" spans="1:12" x14ac:dyDescent="0.35">
      <c r="A377">
        <v>376</v>
      </c>
      <c r="B377" t="s">
        <v>17</v>
      </c>
      <c r="C377" s="1">
        <v>3.7</v>
      </c>
      <c r="D377">
        <v>92.4</v>
      </c>
      <c r="E377" s="1">
        <v>5.8</v>
      </c>
      <c r="F377" t="s">
        <v>23</v>
      </c>
      <c r="G377" s="2" t="s">
        <v>14</v>
      </c>
      <c r="H377" s="2" t="s">
        <v>15</v>
      </c>
      <c r="I377" t="s">
        <v>14</v>
      </c>
      <c r="J377">
        <v>73.5</v>
      </c>
      <c r="K377" s="1">
        <v>84.9</v>
      </c>
      <c r="L377" t="s">
        <v>20</v>
      </c>
    </row>
    <row r="378" spans="1:12" x14ac:dyDescent="0.35">
      <c r="A378">
        <v>377</v>
      </c>
      <c r="B378" t="s">
        <v>17</v>
      </c>
      <c r="C378" s="1">
        <v>7.3</v>
      </c>
      <c r="D378">
        <v>85.8</v>
      </c>
      <c r="E378" s="1">
        <v>7.9</v>
      </c>
      <c r="F378" t="s">
        <v>18</v>
      </c>
      <c r="G378" s="2" t="s">
        <v>14</v>
      </c>
      <c r="H378" s="2" t="s">
        <v>14</v>
      </c>
      <c r="I378" t="s">
        <v>15</v>
      </c>
      <c r="J378">
        <v>56</v>
      </c>
      <c r="K378" s="1">
        <v>99.3</v>
      </c>
      <c r="L378" t="s">
        <v>16</v>
      </c>
    </row>
    <row r="379" spans="1:12" x14ac:dyDescent="0.35">
      <c r="A379">
        <v>378</v>
      </c>
      <c r="B379" t="s">
        <v>12</v>
      </c>
      <c r="C379" s="1">
        <v>3.4</v>
      </c>
      <c r="D379">
        <v>69</v>
      </c>
      <c r="E379" s="1">
        <v>6</v>
      </c>
      <c r="F379" t="s">
        <v>23</v>
      </c>
      <c r="G379" s="2" t="s">
        <v>14</v>
      </c>
      <c r="H379" s="2" t="s">
        <v>15</v>
      </c>
      <c r="I379" t="s">
        <v>15</v>
      </c>
      <c r="J379">
        <v>65.7</v>
      </c>
      <c r="K379" s="1">
        <v>74.3</v>
      </c>
      <c r="L379" t="s">
        <v>22</v>
      </c>
    </row>
    <row r="380" spans="1:12" x14ac:dyDescent="0.35">
      <c r="A380">
        <v>379</v>
      </c>
      <c r="B380" t="s">
        <v>17</v>
      </c>
      <c r="C380" s="1">
        <v>5.2</v>
      </c>
      <c r="D380">
        <v>82.5</v>
      </c>
      <c r="E380" s="1">
        <v>7.1</v>
      </c>
      <c r="F380" t="s">
        <v>23</v>
      </c>
      <c r="G380" s="2" t="s">
        <v>14</v>
      </c>
      <c r="H380" s="2" t="s">
        <v>14</v>
      </c>
      <c r="I380" t="s">
        <v>15</v>
      </c>
      <c r="J380">
        <v>59.7</v>
      </c>
      <c r="K380" s="1">
        <v>93.3</v>
      </c>
      <c r="L380" t="s">
        <v>16</v>
      </c>
    </row>
    <row r="381" spans="1:12" x14ac:dyDescent="0.35">
      <c r="A381">
        <v>380</v>
      </c>
      <c r="B381" t="s">
        <v>12</v>
      </c>
      <c r="C381" s="1">
        <v>2.4</v>
      </c>
      <c r="D381">
        <v>76.599999999999994</v>
      </c>
      <c r="E381" s="1">
        <v>7.8</v>
      </c>
      <c r="F381" t="s">
        <v>23</v>
      </c>
      <c r="G381" s="2" t="s">
        <v>14</v>
      </c>
      <c r="H381" s="2" t="s">
        <v>14</v>
      </c>
      <c r="I381" t="s">
        <v>15</v>
      </c>
      <c r="J381">
        <v>59.3</v>
      </c>
      <c r="K381" s="1">
        <v>79.400000000000006</v>
      </c>
      <c r="L381" t="s">
        <v>22</v>
      </c>
    </row>
    <row r="382" spans="1:12" x14ac:dyDescent="0.35">
      <c r="A382">
        <v>381</v>
      </c>
      <c r="B382" t="s">
        <v>17</v>
      </c>
      <c r="C382" s="1">
        <v>3.4</v>
      </c>
      <c r="D382">
        <v>100</v>
      </c>
      <c r="E382" s="1">
        <v>6.8</v>
      </c>
      <c r="F382" t="s">
        <v>13</v>
      </c>
      <c r="G382" s="2" t="s">
        <v>15</v>
      </c>
      <c r="H382" s="2" t="s">
        <v>14</v>
      </c>
      <c r="I382" t="s">
        <v>15</v>
      </c>
      <c r="J382">
        <v>44.7</v>
      </c>
      <c r="K382" s="1">
        <v>77.400000000000006</v>
      </c>
      <c r="L382" t="s">
        <v>22</v>
      </c>
    </row>
    <row r="383" spans="1:12" x14ac:dyDescent="0.35">
      <c r="A383">
        <v>382</v>
      </c>
      <c r="B383" t="s">
        <v>17</v>
      </c>
      <c r="C383" s="1">
        <v>6.2</v>
      </c>
      <c r="D383">
        <v>83.2</v>
      </c>
      <c r="E383" s="1">
        <v>7.3</v>
      </c>
      <c r="F383" t="s">
        <v>24</v>
      </c>
      <c r="G383" s="2" t="s">
        <v>14</v>
      </c>
      <c r="H383" s="2" t="s">
        <v>15</v>
      </c>
      <c r="I383" t="s">
        <v>15</v>
      </c>
      <c r="J383">
        <v>86.1</v>
      </c>
      <c r="K383" s="1">
        <v>100</v>
      </c>
      <c r="L383" t="s">
        <v>16</v>
      </c>
    </row>
    <row r="384" spans="1:12" x14ac:dyDescent="0.35">
      <c r="A384">
        <v>383</v>
      </c>
      <c r="B384" t="s">
        <v>17</v>
      </c>
      <c r="C384" s="1">
        <v>2.6</v>
      </c>
      <c r="D384">
        <v>86.2</v>
      </c>
      <c r="E384" s="1">
        <v>6.2</v>
      </c>
      <c r="F384" t="s">
        <v>23</v>
      </c>
      <c r="G384" s="2" t="s">
        <v>14</v>
      </c>
      <c r="H384" s="2" t="s">
        <v>14</v>
      </c>
      <c r="I384" t="s">
        <v>15</v>
      </c>
      <c r="J384">
        <v>61.8</v>
      </c>
      <c r="K384" s="1">
        <v>76.8</v>
      </c>
      <c r="L384" t="s">
        <v>22</v>
      </c>
    </row>
    <row r="385" spans="1:12" x14ac:dyDescent="0.35">
      <c r="A385">
        <v>384</v>
      </c>
      <c r="B385" t="s">
        <v>12</v>
      </c>
      <c r="C385" s="1">
        <v>6.2</v>
      </c>
      <c r="D385">
        <v>90.5</v>
      </c>
      <c r="E385" s="1">
        <v>6.6</v>
      </c>
      <c r="F385" t="s">
        <v>18</v>
      </c>
      <c r="G385" s="2" t="s">
        <v>14</v>
      </c>
      <c r="H385" s="2" t="s">
        <v>14</v>
      </c>
      <c r="I385" t="s">
        <v>15</v>
      </c>
      <c r="J385">
        <v>84</v>
      </c>
      <c r="K385" s="1">
        <v>100</v>
      </c>
      <c r="L385" t="s">
        <v>16</v>
      </c>
    </row>
    <row r="386" spans="1:12" x14ac:dyDescent="0.35">
      <c r="A386">
        <v>385</v>
      </c>
      <c r="B386" t="s">
        <v>12</v>
      </c>
      <c r="C386" s="1">
        <v>4.5999999999999996</v>
      </c>
      <c r="D386">
        <v>85.4</v>
      </c>
      <c r="E386" s="1">
        <v>6.6</v>
      </c>
      <c r="F386" t="s">
        <v>13</v>
      </c>
      <c r="G386" s="2" t="s">
        <v>15</v>
      </c>
      <c r="H386" s="2" t="s">
        <v>14</v>
      </c>
      <c r="I386" t="s">
        <v>15</v>
      </c>
      <c r="J386">
        <v>82.8</v>
      </c>
      <c r="K386" s="1">
        <v>88.6</v>
      </c>
      <c r="L386" t="s">
        <v>20</v>
      </c>
    </row>
    <row r="387" spans="1:12" x14ac:dyDescent="0.35">
      <c r="A387">
        <v>386</v>
      </c>
      <c r="B387" t="s">
        <v>17</v>
      </c>
      <c r="C387" s="1">
        <v>2.7</v>
      </c>
      <c r="D387">
        <v>100</v>
      </c>
      <c r="E387" s="1">
        <v>5.9</v>
      </c>
      <c r="F387" t="s">
        <v>24</v>
      </c>
      <c r="G387" s="2" t="s">
        <v>14</v>
      </c>
      <c r="H387" s="2" t="s">
        <v>15</v>
      </c>
      <c r="I387" t="s">
        <v>15</v>
      </c>
      <c r="J387">
        <v>54.6</v>
      </c>
      <c r="K387" s="1">
        <v>79.099999999999994</v>
      </c>
      <c r="L387" t="s">
        <v>22</v>
      </c>
    </row>
    <row r="388" spans="1:12" x14ac:dyDescent="0.35">
      <c r="A388">
        <v>387</v>
      </c>
      <c r="B388" t="s">
        <v>12</v>
      </c>
      <c r="C388" s="1">
        <v>4.4000000000000004</v>
      </c>
      <c r="D388">
        <v>78.8</v>
      </c>
      <c r="E388" s="1">
        <v>6.6</v>
      </c>
      <c r="F388" t="s">
        <v>18</v>
      </c>
      <c r="G388" s="2" t="s">
        <v>14</v>
      </c>
      <c r="H388" s="2" t="s">
        <v>15</v>
      </c>
      <c r="I388" t="s">
        <v>15</v>
      </c>
      <c r="J388">
        <v>56.9</v>
      </c>
      <c r="K388" s="1">
        <v>79.400000000000006</v>
      </c>
      <c r="L388" t="s">
        <v>22</v>
      </c>
    </row>
    <row r="389" spans="1:12" x14ac:dyDescent="0.35">
      <c r="A389">
        <v>388</v>
      </c>
      <c r="B389" t="s">
        <v>12</v>
      </c>
      <c r="C389" s="1">
        <v>5</v>
      </c>
      <c r="D389">
        <v>86.9</v>
      </c>
      <c r="E389" s="1">
        <v>4.9000000000000004</v>
      </c>
      <c r="F389" t="s">
        <v>19</v>
      </c>
      <c r="G389" s="2" t="s">
        <v>14</v>
      </c>
      <c r="H389" s="2" t="s">
        <v>14</v>
      </c>
      <c r="I389" t="s">
        <v>15</v>
      </c>
      <c r="J389">
        <v>100</v>
      </c>
      <c r="K389" s="1">
        <v>100</v>
      </c>
      <c r="L389" t="s">
        <v>16</v>
      </c>
    </row>
    <row r="390" spans="1:12" x14ac:dyDescent="0.35">
      <c r="A390">
        <v>389</v>
      </c>
      <c r="B390" t="s">
        <v>12</v>
      </c>
      <c r="C390" s="1">
        <v>4.4000000000000004</v>
      </c>
      <c r="D390">
        <v>77.599999999999994</v>
      </c>
      <c r="E390" s="1">
        <v>6.2</v>
      </c>
      <c r="F390" t="s">
        <v>23</v>
      </c>
      <c r="G390" s="2" t="s">
        <v>14</v>
      </c>
      <c r="H390" s="2" t="s">
        <v>15</v>
      </c>
      <c r="I390" t="s">
        <v>14</v>
      </c>
      <c r="J390">
        <v>91</v>
      </c>
      <c r="K390" s="1">
        <v>86.7</v>
      </c>
      <c r="L390" t="s">
        <v>20</v>
      </c>
    </row>
    <row r="391" spans="1:12" x14ac:dyDescent="0.35">
      <c r="A391">
        <v>390</v>
      </c>
      <c r="B391" t="s">
        <v>12</v>
      </c>
      <c r="C391" s="1">
        <v>1.1000000000000001</v>
      </c>
      <c r="D391">
        <v>71.8</v>
      </c>
      <c r="E391" s="1">
        <v>6.5</v>
      </c>
      <c r="F391" t="s">
        <v>13</v>
      </c>
      <c r="G391" s="2" t="s">
        <v>14</v>
      </c>
      <c r="H391" s="2" t="s">
        <v>14</v>
      </c>
      <c r="I391" t="s">
        <v>14</v>
      </c>
      <c r="J391">
        <v>69.599999999999994</v>
      </c>
      <c r="K391" s="1">
        <v>69.5</v>
      </c>
      <c r="L391" t="s">
        <v>21</v>
      </c>
    </row>
    <row r="392" spans="1:12" x14ac:dyDescent="0.35">
      <c r="A392">
        <v>391</v>
      </c>
      <c r="B392" t="s">
        <v>12</v>
      </c>
      <c r="C392" s="1">
        <v>2.4</v>
      </c>
      <c r="D392">
        <v>78.900000000000006</v>
      </c>
      <c r="E392" s="1">
        <v>6.5</v>
      </c>
      <c r="F392" t="s">
        <v>18</v>
      </c>
      <c r="G392" s="2" t="s">
        <v>14</v>
      </c>
      <c r="H392" s="2" t="s">
        <v>15</v>
      </c>
      <c r="I392" t="s">
        <v>15</v>
      </c>
      <c r="J392">
        <v>73.099999999999994</v>
      </c>
      <c r="K392" s="1">
        <v>86.3</v>
      </c>
      <c r="L392" t="s">
        <v>20</v>
      </c>
    </row>
    <row r="393" spans="1:12" x14ac:dyDescent="0.35">
      <c r="A393">
        <v>392</v>
      </c>
      <c r="B393" t="s">
        <v>12</v>
      </c>
      <c r="C393" s="1">
        <v>3.1</v>
      </c>
      <c r="D393">
        <v>84.6</v>
      </c>
      <c r="E393" s="1">
        <v>6.5</v>
      </c>
      <c r="F393" t="s">
        <v>18</v>
      </c>
      <c r="G393" s="2" t="s">
        <v>14</v>
      </c>
      <c r="H393" s="2" t="s">
        <v>14</v>
      </c>
      <c r="I393" t="s">
        <v>15</v>
      </c>
      <c r="J393">
        <v>62.4</v>
      </c>
      <c r="K393" s="1">
        <v>87.3</v>
      </c>
      <c r="L393" t="s">
        <v>20</v>
      </c>
    </row>
    <row r="394" spans="1:12" x14ac:dyDescent="0.35">
      <c r="A394">
        <v>393</v>
      </c>
      <c r="B394" t="s">
        <v>17</v>
      </c>
      <c r="C394" s="1">
        <v>3.4</v>
      </c>
      <c r="D394">
        <v>80.7</v>
      </c>
      <c r="E394" s="1">
        <v>6.7</v>
      </c>
      <c r="F394" t="s">
        <v>19</v>
      </c>
      <c r="G394" s="2" t="s">
        <v>15</v>
      </c>
      <c r="H394" s="2" t="s">
        <v>15</v>
      </c>
      <c r="I394" t="s">
        <v>15</v>
      </c>
      <c r="J394">
        <v>75.2</v>
      </c>
      <c r="K394" s="1">
        <v>72.099999999999994</v>
      </c>
      <c r="L394" t="s">
        <v>22</v>
      </c>
    </row>
    <row r="395" spans="1:12" x14ac:dyDescent="0.35">
      <c r="A395">
        <v>394</v>
      </c>
      <c r="B395" t="s">
        <v>17</v>
      </c>
      <c r="C395" s="1">
        <v>4.4000000000000004</v>
      </c>
      <c r="D395">
        <v>78.099999999999994</v>
      </c>
      <c r="E395" s="1">
        <v>7.4</v>
      </c>
      <c r="F395" t="s">
        <v>18</v>
      </c>
      <c r="G395" s="2" t="s">
        <v>14</v>
      </c>
      <c r="H395" s="2" t="s">
        <v>14</v>
      </c>
      <c r="I395" t="s">
        <v>15</v>
      </c>
      <c r="J395">
        <v>61.4</v>
      </c>
      <c r="K395" s="1">
        <v>92.3</v>
      </c>
      <c r="L395" t="s">
        <v>16</v>
      </c>
    </row>
    <row r="396" spans="1:12" x14ac:dyDescent="0.35">
      <c r="A396">
        <v>395</v>
      </c>
      <c r="B396" t="s">
        <v>12</v>
      </c>
      <c r="C396" s="1">
        <v>3.8</v>
      </c>
      <c r="D396">
        <v>70.900000000000006</v>
      </c>
      <c r="E396" s="1">
        <v>7.8</v>
      </c>
      <c r="F396" t="s">
        <v>23</v>
      </c>
      <c r="G396" s="2" t="s">
        <v>14</v>
      </c>
      <c r="H396" s="2" t="s">
        <v>15</v>
      </c>
      <c r="I396" t="s">
        <v>14</v>
      </c>
      <c r="J396">
        <v>45.6</v>
      </c>
      <c r="K396" s="1">
        <v>67.599999999999994</v>
      </c>
      <c r="L396" t="s">
        <v>21</v>
      </c>
    </row>
    <row r="397" spans="1:12" x14ac:dyDescent="0.35">
      <c r="A397">
        <v>396</v>
      </c>
      <c r="B397" t="s">
        <v>17</v>
      </c>
      <c r="C397" s="1">
        <v>1.5</v>
      </c>
      <c r="D397">
        <v>84.2</v>
      </c>
      <c r="E397" s="1">
        <v>6</v>
      </c>
      <c r="F397" t="s">
        <v>13</v>
      </c>
      <c r="G397" s="2" t="s">
        <v>14</v>
      </c>
      <c r="H397" s="2" t="s">
        <v>14</v>
      </c>
      <c r="I397" t="s">
        <v>15</v>
      </c>
      <c r="J397">
        <v>54.1</v>
      </c>
      <c r="K397" s="1">
        <v>72.7</v>
      </c>
      <c r="L397" t="s">
        <v>22</v>
      </c>
    </row>
    <row r="398" spans="1:12" x14ac:dyDescent="0.35">
      <c r="A398">
        <v>397</v>
      </c>
      <c r="B398" t="s">
        <v>17</v>
      </c>
      <c r="C398" s="1">
        <v>4.0999999999999996</v>
      </c>
      <c r="D398">
        <v>70</v>
      </c>
      <c r="E398" s="1">
        <v>5.4</v>
      </c>
      <c r="F398" t="s">
        <v>18</v>
      </c>
      <c r="G398" s="2" t="s">
        <v>14</v>
      </c>
      <c r="H398" s="2" t="s">
        <v>14</v>
      </c>
      <c r="I398" t="s">
        <v>15</v>
      </c>
      <c r="J398">
        <v>70.3</v>
      </c>
      <c r="K398" s="1">
        <v>76.099999999999994</v>
      </c>
      <c r="L398" t="s">
        <v>22</v>
      </c>
    </row>
    <row r="399" spans="1:12" x14ac:dyDescent="0.35">
      <c r="A399">
        <v>398</v>
      </c>
      <c r="B399" t="s">
        <v>17</v>
      </c>
      <c r="C399" s="1">
        <v>4.4000000000000004</v>
      </c>
      <c r="D399">
        <v>92.6</v>
      </c>
      <c r="E399" s="1">
        <v>5.5</v>
      </c>
      <c r="F399" t="s">
        <v>18</v>
      </c>
      <c r="G399" s="2" t="s">
        <v>15</v>
      </c>
      <c r="H399" s="2" t="s">
        <v>14</v>
      </c>
      <c r="I399" t="s">
        <v>15</v>
      </c>
      <c r="J399">
        <v>56.4</v>
      </c>
      <c r="K399" s="1">
        <v>81.2</v>
      </c>
      <c r="L399" t="s">
        <v>20</v>
      </c>
    </row>
    <row r="400" spans="1:12" x14ac:dyDescent="0.35">
      <c r="A400">
        <v>399</v>
      </c>
      <c r="B400" t="s">
        <v>17</v>
      </c>
      <c r="C400" s="1">
        <v>4.3</v>
      </c>
      <c r="D400">
        <v>85.8</v>
      </c>
      <c r="E400" s="1">
        <v>6.2</v>
      </c>
      <c r="F400" t="s">
        <v>13</v>
      </c>
      <c r="G400" s="2" t="s">
        <v>14</v>
      </c>
      <c r="H400" s="2" t="s">
        <v>14</v>
      </c>
      <c r="I400" t="s">
        <v>15</v>
      </c>
      <c r="J400">
        <v>69.2</v>
      </c>
      <c r="K400" s="1">
        <v>90.4</v>
      </c>
      <c r="L400" t="s">
        <v>16</v>
      </c>
    </row>
    <row r="401" spans="1:12" x14ac:dyDescent="0.35">
      <c r="A401">
        <v>400</v>
      </c>
      <c r="B401" t="s">
        <v>12</v>
      </c>
      <c r="C401" s="1">
        <v>5.0999999999999996</v>
      </c>
      <c r="D401">
        <v>70.400000000000006</v>
      </c>
      <c r="E401" s="1">
        <v>6.4</v>
      </c>
      <c r="F401" t="s">
        <v>19</v>
      </c>
      <c r="G401" s="2" t="s">
        <v>14</v>
      </c>
      <c r="H401" s="2" t="s">
        <v>14</v>
      </c>
      <c r="I401" t="s">
        <v>15</v>
      </c>
      <c r="J401">
        <v>57.1</v>
      </c>
      <c r="K401" s="1">
        <v>73.2</v>
      </c>
      <c r="L401" t="s">
        <v>22</v>
      </c>
    </row>
    <row r="402" spans="1:12" x14ac:dyDescent="0.35">
      <c r="A402">
        <v>401</v>
      </c>
      <c r="B402" t="s">
        <v>17</v>
      </c>
      <c r="C402" s="1">
        <v>4.8</v>
      </c>
      <c r="D402">
        <v>81.900000000000006</v>
      </c>
      <c r="E402" s="1">
        <v>5.9</v>
      </c>
      <c r="F402" t="s">
        <v>13</v>
      </c>
      <c r="G402" s="2" t="s">
        <v>14</v>
      </c>
      <c r="H402" s="2" t="s">
        <v>15</v>
      </c>
      <c r="I402" t="s">
        <v>14</v>
      </c>
      <c r="J402">
        <v>60.6</v>
      </c>
      <c r="K402" s="1">
        <v>85.2</v>
      </c>
      <c r="L402" t="s">
        <v>20</v>
      </c>
    </row>
    <row r="403" spans="1:12" x14ac:dyDescent="0.35">
      <c r="A403">
        <v>402</v>
      </c>
      <c r="B403" t="s">
        <v>17</v>
      </c>
      <c r="C403" s="1">
        <v>4.2</v>
      </c>
      <c r="D403">
        <v>77.5</v>
      </c>
      <c r="E403" s="1">
        <v>5.2</v>
      </c>
      <c r="F403" t="s">
        <v>13</v>
      </c>
      <c r="G403" s="2" t="s">
        <v>14</v>
      </c>
      <c r="H403" s="2" t="s">
        <v>14</v>
      </c>
      <c r="I403" t="s">
        <v>15</v>
      </c>
      <c r="J403">
        <v>80.2</v>
      </c>
      <c r="K403" s="1">
        <v>96.4</v>
      </c>
      <c r="L403" t="s">
        <v>16</v>
      </c>
    </row>
    <row r="404" spans="1:12" x14ac:dyDescent="0.35">
      <c r="A404">
        <v>403</v>
      </c>
      <c r="B404" t="s">
        <v>12</v>
      </c>
      <c r="C404" s="1">
        <v>3.4</v>
      </c>
      <c r="D404">
        <v>88.2</v>
      </c>
      <c r="E404" s="1">
        <v>6.3</v>
      </c>
      <c r="F404" t="s">
        <v>18</v>
      </c>
      <c r="G404" s="2" t="s">
        <v>14</v>
      </c>
      <c r="H404" s="2" t="s">
        <v>15</v>
      </c>
      <c r="I404" t="s">
        <v>14</v>
      </c>
      <c r="J404">
        <v>73</v>
      </c>
      <c r="K404" s="1">
        <v>81.900000000000006</v>
      </c>
      <c r="L404" t="s">
        <v>20</v>
      </c>
    </row>
    <row r="405" spans="1:12" x14ac:dyDescent="0.35">
      <c r="A405">
        <v>404</v>
      </c>
      <c r="B405" t="s">
        <v>12</v>
      </c>
      <c r="C405" s="1">
        <v>1</v>
      </c>
      <c r="D405">
        <v>98.4</v>
      </c>
      <c r="E405" s="1">
        <v>7</v>
      </c>
      <c r="F405" t="s">
        <v>13</v>
      </c>
      <c r="G405" s="2" t="s">
        <v>14</v>
      </c>
      <c r="H405" s="2" t="s">
        <v>15</v>
      </c>
      <c r="I405" t="s">
        <v>15</v>
      </c>
      <c r="J405">
        <v>69.900000000000006</v>
      </c>
      <c r="K405" s="1">
        <v>86.5</v>
      </c>
      <c r="L405" t="s">
        <v>20</v>
      </c>
    </row>
    <row r="406" spans="1:12" x14ac:dyDescent="0.35">
      <c r="A406">
        <v>405</v>
      </c>
      <c r="B406" t="s">
        <v>17</v>
      </c>
      <c r="C406" s="1">
        <v>4.0999999999999996</v>
      </c>
      <c r="D406">
        <v>66.2</v>
      </c>
      <c r="E406" s="1">
        <v>7.5</v>
      </c>
      <c r="F406" t="s">
        <v>13</v>
      </c>
      <c r="G406" s="2" t="s">
        <v>14</v>
      </c>
      <c r="H406" s="2" t="s">
        <v>15</v>
      </c>
      <c r="I406" t="s">
        <v>15</v>
      </c>
      <c r="J406">
        <v>80.5</v>
      </c>
      <c r="K406" s="1">
        <v>84.7</v>
      </c>
      <c r="L406" t="s">
        <v>20</v>
      </c>
    </row>
    <row r="407" spans="1:12" x14ac:dyDescent="0.35">
      <c r="A407">
        <v>406</v>
      </c>
      <c r="B407" t="s">
        <v>17</v>
      </c>
      <c r="C407" s="1">
        <v>3.8</v>
      </c>
      <c r="D407">
        <v>86.2</v>
      </c>
      <c r="E407" s="1">
        <v>6.1</v>
      </c>
      <c r="F407" t="s">
        <v>24</v>
      </c>
      <c r="G407" s="2" t="s">
        <v>14</v>
      </c>
      <c r="H407" s="2" t="s">
        <v>15</v>
      </c>
      <c r="I407" t="s">
        <v>15</v>
      </c>
      <c r="J407">
        <v>75.8</v>
      </c>
      <c r="K407" s="1">
        <v>93</v>
      </c>
      <c r="L407" t="s">
        <v>16</v>
      </c>
    </row>
    <row r="408" spans="1:12" x14ac:dyDescent="0.35">
      <c r="A408">
        <v>407</v>
      </c>
      <c r="B408" t="s">
        <v>17</v>
      </c>
      <c r="C408" s="1">
        <v>3.9</v>
      </c>
      <c r="D408">
        <v>83.4</v>
      </c>
      <c r="E408" s="1">
        <v>6.3</v>
      </c>
      <c r="F408" t="s">
        <v>13</v>
      </c>
      <c r="G408" s="2" t="s">
        <v>14</v>
      </c>
      <c r="H408" s="2" t="s">
        <v>15</v>
      </c>
      <c r="I408" t="s">
        <v>15</v>
      </c>
      <c r="J408">
        <v>87.4</v>
      </c>
      <c r="K408" s="1">
        <v>78.900000000000006</v>
      </c>
      <c r="L408" t="s">
        <v>22</v>
      </c>
    </row>
    <row r="409" spans="1:12" x14ac:dyDescent="0.35">
      <c r="A409">
        <v>408</v>
      </c>
      <c r="B409" t="s">
        <v>17</v>
      </c>
      <c r="C409" s="1">
        <v>1.6</v>
      </c>
      <c r="D409">
        <v>91.7</v>
      </c>
      <c r="E409" s="1">
        <v>5.7</v>
      </c>
      <c r="F409" t="s">
        <v>13</v>
      </c>
      <c r="G409" s="2" t="s">
        <v>14</v>
      </c>
      <c r="H409" s="2" t="s">
        <v>14</v>
      </c>
      <c r="I409" t="s">
        <v>15</v>
      </c>
      <c r="J409">
        <v>64.5</v>
      </c>
      <c r="K409" s="1">
        <v>90.4</v>
      </c>
      <c r="L409" t="s">
        <v>16</v>
      </c>
    </row>
    <row r="410" spans="1:12" x14ac:dyDescent="0.35">
      <c r="A410">
        <v>409</v>
      </c>
      <c r="B410" t="s">
        <v>17</v>
      </c>
      <c r="C410" s="1">
        <v>1.9</v>
      </c>
      <c r="D410">
        <v>87.1</v>
      </c>
      <c r="E410" s="1">
        <v>6.8</v>
      </c>
      <c r="F410" t="s">
        <v>18</v>
      </c>
      <c r="G410" s="2" t="s">
        <v>15</v>
      </c>
      <c r="H410" s="2" t="s">
        <v>15</v>
      </c>
      <c r="I410" t="s">
        <v>15</v>
      </c>
      <c r="J410">
        <v>64.8</v>
      </c>
      <c r="K410" s="1">
        <v>80.099999999999994</v>
      </c>
      <c r="L410" t="s">
        <v>20</v>
      </c>
    </row>
    <row r="411" spans="1:12" x14ac:dyDescent="0.35">
      <c r="A411">
        <v>410</v>
      </c>
      <c r="B411" t="s">
        <v>17</v>
      </c>
      <c r="C411" s="1">
        <v>5.0999999999999996</v>
      </c>
      <c r="D411">
        <v>77.5</v>
      </c>
      <c r="E411" s="1">
        <v>5.8</v>
      </c>
      <c r="F411" t="s">
        <v>19</v>
      </c>
      <c r="G411" s="2" t="s">
        <v>14</v>
      </c>
      <c r="H411" s="2" t="s">
        <v>14</v>
      </c>
      <c r="I411" t="s">
        <v>14</v>
      </c>
      <c r="J411">
        <v>54.4</v>
      </c>
      <c r="K411" s="1">
        <v>78.099999999999994</v>
      </c>
      <c r="L411" t="s">
        <v>22</v>
      </c>
    </row>
    <row r="412" spans="1:12" x14ac:dyDescent="0.35">
      <c r="A412">
        <v>411</v>
      </c>
      <c r="B412" t="s">
        <v>12</v>
      </c>
      <c r="C412" s="1">
        <v>3.4</v>
      </c>
      <c r="D412">
        <v>81.8</v>
      </c>
      <c r="E412" s="1">
        <v>7.5</v>
      </c>
      <c r="F412" t="s">
        <v>18</v>
      </c>
      <c r="G412" s="2" t="s">
        <v>14</v>
      </c>
      <c r="H412" s="2" t="s">
        <v>15</v>
      </c>
      <c r="I412" t="s">
        <v>15</v>
      </c>
      <c r="J412">
        <v>64.900000000000006</v>
      </c>
      <c r="K412" s="1">
        <v>70.099999999999994</v>
      </c>
      <c r="L412" t="s">
        <v>22</v>
      </c>
    </row>
    <row r="413" spans="1:12" x14ac:dyDescent="0.35">
      <c r="A413">
        <v>412</v>
      </c>
      <c r="B413" t="s">
        <v>17</v>
      </c>
      <c r="C413" s="1">
        <v>4.5</v>
      </c>
      <c r="D413">
        <v>77</v>
      </c>
      <c r="E413" s="1">
        <v>4.7</v>
      </c>
      <c r="F413" t="s">
        <v>18</v>
      </c>
      <c r="G413" s="2" t="s">
        <v>14</v>
      </c>
      <c r="H413" s="2" t="s">
        <v>15</v>
      </c>
      <c r="I413" t="s">
        <v>15</v>
      </c>
      <c r="J413">
        <v>81.599999999999994</v>
      </c>
      <c r="K413" s="1">
        <v>90.2</v>
      </c>
      <c r="L413" t="s">
        <v>16</v>
      </c>
    </row>
    <row r="414" spans="1:12" x14ac:dyDescent="0.35">
      <c r="A414">
        <v>413</v>
      </c>
      <c r="B414" t="s">
        <v>17</v>
      </c>
      <c r="C414" s="1">
        <v>3.5</v>
      </c>
      <c r="D414">
        <v>95.8</v>
      </c>
      <c r="E414" s="1">
        <v>6.4</v>
      </c>
      <c r="F414" t="s">
        <v>23</v>
      </c>
      <c r="G414" s="2" t="s">
        <v>14</v>
      </c>
      <c r="H414" s="2" t="s">
        <v>14</v>
      </c>
      <c r="I414" t="s">
        <v>15</v>
      </c>
      <c r="J414">
        <v>85.6</v>
      </c>
      <c r="K414" s="1">
        <v>86.5</v>
      </c>
      <c r="L414" t="s">
        <v>20</v>
      </c>
    </row>
    <row r="415" spans="1:12" x14ac:dyDescent="0.35">
      <c r="A415">
        <v>414</v>
      </c>
      <c r="B415" t="s">
        <v>12</v>
      </c>
      <c r="C415" s="1">
        <v>3.5</v>
      </c>
      <c r="D415">
        <v>85.2</v>
      </c>
      <c r="E415" s="1">
        <v>7.2</v>
      </c>
      <c r="F415" t="s">
        <v>13</v>
      </c>
      <c r="G415" s="2" t="s">
        <v>14</v>
      </c>
      <c r="H415" s="2" t="s">
        <v>14</v>
      </c>
      <c r="I415" t="s">
        <v>15</v>
      </c>
      <c r="J415">
        <v>81.5</v>
      </c>
      <c r="K415" s="1">
        <v>93.5</v>
      </c>
      <c r="L415" t="s">
        <v>16</v>
      </c>
    </row>
    <row r="416" spans="1:12" x14ac:dyDescent="0.35">
      <c r="A416">
        <v>415</v>
      </c>
      <c r="B416" t="s">
        <v>12</v>
      </c>
      <c r="C416" s="1">
        <v>4.9000000000000004</v>
      </c>
      <c r="D416">
        <v>100</v>
      </c>
      <c r="E416" s="1">
        <v>7</v>
      </c>
      <c r="F416" t="s">
        <v>13</v>
      </c>
      <c r="G416" s="2" t="s">
        <v>15</v>
      </c>
      <c r="H416" s="2" t="s">
        <v>14</v>
      </c>
      <c r="I416" t="s">
        <v>14</v>
      </c>
      <c r="J416">
        <v>48.5</v>
      </c>
      <c r="K416" s="1">
        <v>83.3</v>
      </c>
      <c r="L416" t="s">
        <v>20</v>
      </c>
    </row>
    <row r="417" spans="1:12" x14ac:dyDescent="0.35">
      <c r="A417">
        <v>416</v>
      </c>
      <c r="B417" t="s">
        <v>12</v>
      </c>
      <c r="C417" s="1">
        <v>2.7</v>
      </c>
      <c r="D417">
        <v>84.4</v>
      </c>
      <c r="E417" s="1">
        <v>10</v>
      </c>
      <c r="F417" t="s">
        <v>13</v>
      </c>
      <c r="G417" s="2" t="s">
        <v>14</v>
      </c>
      <c r="H417" s="2" t="s">
        <v>15</v>
      </c>
      <c r="I417" t="s">
        <v>14</v>
      </c>
      <c r="J417">
        <v>83</v>
      </c>
      <c r="K417" s="1">
        <v>81.2</v>
      </c>
      <c r="L417" t="s">
        <v>20</v>
      </c>
    </row>
    <row r="418" spans="1:12" x14ac:dyDescent="0.35">
      <c r="A418">
        <v>417</v>
      </c>
      <c r="B418" t="s">
        <v>12</v>
      </c>
      <c r="C418" s="1">
        <v>3.6</v>
      </c>
      <c r="D418">
        <v>77.900000000000006</v>
      </c>
      <c r="E418" s="1">
        <v>7.2</v>
      </c>
      <c r="F418" t="s">
        <v>23</v>
      </c>
      <c r="G418" s="2" t="s">
        <v>15</v>
      </c>
      <c r="H418" s="2" t="s">
        <v>15</v>
      </c>
      <c r="I418" t="s">
        <v>15</v>
      </c>
      <c r="J418">
        <v>47.9</v>
      </c>
      <c r="K418" s="1">
        <v>76</v>
      </c>
      <c r="L418" t="s">
        <v>22</v>
      </c>
    </row>
    <row r="419" spans="1:12" x14ac:dyDescent="0.35">
      <c r="A419">
        <v>418</v>
      </c>
      <c r="B419" t="s">
        <v>17</v>
      </c>
      <c r="C419" s="1">
        <v>2.8</v>
      </c>
      <c r="D419">
        <v>69.900000000000006</v>
      </c>
      <c r="E419" s="1">
        <v>5.6</v>
      </c>
      <c r="F419" t="s">
        <v>18</v>
      </c>
      <c r="G419" s="2" t="s">
        <v>14</v>
      </c>
      <c r="H419" s="2" t="s">
        <v>14</v>
      </c>
      <c r="I419" t="s">
        <v>15</v>
      </c>
      <c r="J419">
        <v>80.8</v>
      </c>
      <c r="K419" s="1">
        <v>84.9</v>
      </c>
      <c r="L419" t="s">
        <v>20</v>
      </c>
    </row>
    <row r="420" spans="1:12" x14ac:dyDescent="0.35">
      <c r="A420">
        <v>419</v>
      </c>
      <c r="B420" t="s">
        <v>17</v>
      </c>
      <c r="C420" s="1">
        <v>2.8</v>
      </c>
      <c r="D420">
        <v>67</v>
      </c>
      <c r="E420" s="1">
        <v>6.7</v>
      </c>
      <c r="F420" t="s">
        <v>23</v>
      </c>
      <c r="G420" s="2" t="s">
        <v>14</v>
      </c>
      <c r="H420" s="2" t="s">
        <v>15</v>
      </c>
      <c r="I420" t="s">
        <v>15</v>
      </c>
      <c r="J420">
        <v>65.599999999999994</v>
      </c>
      <c r="K420" s="1">
        <v>79.2</v>
      </c>
      <c r="L420" t="s">
        <v>22</v>
      </c>
    </row>
    <row r="421" spans="1:12" x14ac:dyDescent="0.35">
      <c r="A421">
        <v>420</v>
      </c>
      <c r="B421" t="s">
        <v>17</v>
      </c>
      <c r="C421" s="1">
        <v>3</v>
      </c>
      <c r="D421">
        <v>69.2</v>
      </c>
      <c r="E421" s="1">
        <v>4.7</v>
      </c>
      <c r="F421" t="s">
        <v>13</v>
      </c>
      <c r="G421" s="2" t="s">
        <v>15</v>
      </c>
      <c r="H421" s="2" t="s">
        <v>15</v>
      </c>
      <c r="I421" t="s">
        <v>15</v>
      </c>
      <c r="J421">
        <v>78.400000000000006</v>
      </c>
      <c r="K421" s="1">
        <v>72.8</v>
      </c>
      <c r="L421" t="s">
        <v>22</v>
      </c>
    </row>
    <row r="422" spans="1:12" x14ac:dyDescent="0.35">
      <c r="A422">
        <v>421</v>
      </c>
      <c r="B422" t="s">
        <v>17</v>
      </c>
      <c r="C422" s="1">
        <v>3.8</v>
      </c>
      <c r="D422">
        <v>87.7</v>
      </c>
      <c r="E422" s="1">
        <v>6.7</v>
      </c>
      <c r="F422" t="s">
        <v>13</v>
      </c>
      <c r="G422" s="2" t="s">
        <v>14</v>
      </c>
      <c r="H422" s="2" t="s">
        <v>14</v>
      </c>
      <c r="I422" t="s">
        <v>14</v>
      </c>
      <c r="J422">
        <v>54</v>
      </c>
      <c r="K422" s="1">
        <v>69.900000000000006</v>
      </c>
      <c r="L422" t="s">
        <v>21</v>
      </c>
    </row>
    <row r="423" spans="1:12" x14ac:dyDescent="0.35">
      <c r="A423">
        <v>422</v>
      </c>
      <c r="B423" t="s">
        <v>17</v>
      </c>
      <c r="C423" s="1">
        <v>2.8</v>
      </c>
      <c r="D423">
        <v>90.1</v>
      </c>
      <c r="E423" s="1">
        <v>5.8</v>
      </c>
      <c r="F423" t="s">
        <v>13</v>
      </c>
      <c r="G423" s="2" t="s">
        <v>15</v>
      </c>
      <c r="H423" s="2" t="s">
        <v>14</v>
      </c>
      <c r="I423" t="s">
        <v>15</v>
      </c>
      <c r="J423">
        <v>84.1</v>
      </c>
      <c r="K423" s="1">
        <v>89.6</v>
      </c>
      <c r="L423" t="s">
        <v>20</v>
      </c>
    </row>
    <row r="424" spans="1:12" x14ac:dyDescent="0.35">
      <c r="A424">
        <v>423</v>
      </c>
      <c r="B424" t="s">
        <v>17</v>
      </c>
      <c r="C424" s="1">
        <v>5.4</v>
      </c>
      <c r="D424">
        <v>69.2</v>
      </c>
      <c r="E424" s="1">
        <v>7.9</v>
      </c>
      <c r="F424" t="s">
        <v>18</v>
      </c>
      <c r="G424" s="2" t="s">
        <v>14</v>
      </c>
      <c r="H424" s="2" t="s">
        <v>15</v>
      </c>
      <c r="I424" t="s">
        <v>14</v>
      </c>
      <c r="J424">
        <v>52.4</v>
      </c>
      <c r="K424" s="1">
        <v>77.3</v>
      </c>
      <c r="L424" t="s">
        <v>22</v>
      </c>
    </row>
    <row r="425" spans="1:12" x14ac:dyDescent="0.35">
      <c r="A425">
        <v>424</v>
      </c>
      <c r="B425" t="s">
        <v>12</v>
      </c>
      <c r="C425" s="1">
        <v>2.2000000000000002</v>
      </c>
      <c r="D425">
        <v>94</v>
      </c>
      <c r="E425" s="1">
        <v>6.1</v>
      </c>
      <c r="F425" t="s">
        <v>23</v>
      </c>
      <c r="G425" s="2" t="s">
        <v>15</v>
      </c>
      <c r="H425" s="2" t="s">
        <v>15</v>
      </c>
      <c r="I425" t="s">
        <v>15</v>
      </c>
      <c r="J425">
        <v>62</v>
      </c>
      <c r="K425" s="1">
        <v>64.599999999999994</v>
      </c>
      <c r="L425" t="s">
        <v>21</v>
      </c>
    </row>
    <row r="426" spans="1:12" x14ac:dyDescent="0.35">
      <c r="A426">
        <v>425</v>
      </c>
      <c r="B426" t="s">
        <v>17</v>
      </c>
      <c r="C426" s="1">
        <v>3.2</v>
      </c>
      <c r="D426">
        <v>80.2</v>
      </c>
      <c r="E426" s="1">
        <v>6.7</v>
      </c>
      <c r="F426" t="s">
        <v>13</v>
      </c>
      <c r="G426" s="2" t="s">
        <v>14</v>
      </c>
      <c r="H426" s="2" t="s">
        <v>15</v>
      </c>
      <c r="I426" t="s">
        <v>14</v>
      </c>
      <c r="J426">
        <v>58</v>
      </c>
      <c r="K426" s="1">
        <v>81.8</v>
      </c>
      <c r="L426" t="s">
        <v>20</v>
      </c>
    </row>
    <row r="427" spans="1:12" x14ac:dyDescent="0.35">
      <c r="A427">
        <v>426</v>
      </c>
      <c r="B427" t="s">
        <v>12</v>
      </c>
      <c r="C427" s="1">
        <v>2.8</v>
      </c>
      <c r="D427">
        <v>86.5</v>
      </c>
      <c r="E427" s="1">
        <v>6</v>
      </c>
      <c r="F427" t="s">
        <v>18</v>
      </c>
      <c r="G427" s="2" t="s">
        <v>14</v>
      </c>
      <c r="H427" s="2" t="s">
        <v>14</v>
      </c>
      <c r="I427" t="s">
        <v>15</v>
      </c>
      <c r="J427">
        <v>48.9</v>
      </c>
      <c r="K427" s="1">
        <v>86.2</v>
      </c>
      <c r="L427" t="s">
        <v>20</v>
      </c>
    </row>
    <row r="428" spans="1:12" x14ac:dyDescent="0.35">
      <c r="A428">
        <v>427</v>
      </c>
      <c r="B428" t="s">
        <v>12</v>
      </c>
      <c r="C428" s="1">
        <v>5.7</v>
      </c>
      <c r="D428">
        <v>100</v>
      </c>
      <c r="E428" s="1">
        <v>8.9</v>
      </c>
      <c r="F428" t="s">
        <v>13</v>
      </c>
      <c r="G428" s="2" t="s">
        <v>14</v>
      </c>
      <c r="H428" s="2" t="s">
        <v>14</v>
      </c>
      <c r="I428" t="s">
        <v>14</v>
      </c>
      <c r="J428">
        <v>71.099999999999994</v>
      </c>
      <c r="K428" s="1">
        <v>100</v>
      </c>
      <c r="L428" t="s">
        <v>16</v>
      </c>
    </row>
    <row r="429" spans="1:12" x14ac:dyDescent="0.35">
      <c r="A429">
        <v>428</v>
      </c>
      <c r="B429" t="s">
        <v>17</v>
      </c>
      <c r="C429" s="1">
        <v>3.8</v>
      </c>
      <c r="D429">
        <v>94</v>
      </c>
      <c r="E429" s="1">
        <v>6.4</v>
      </c>
      <c r="F429" t="s">
        <v>19</v>
      </c>
      <c r="G429" s="2" t="s">
        <v>14</v>
      </c>
      <c r="H429" s="2" t="s">
        <v>14</v>
      </c>
      <c r="I429" t="s">
        <v>15</v>
      </c>
      <c r="J429">
        <v>91.7</v>
      </c>
      <c r="K429" s="1">
        <v>100</v>
      </c>
      <c r="L429" t="s">
        <v>16</v>
      </c>
    </row>
    <row r="430" spans="1:12" x14ac:dyDescent="0.35">
      <c r="A430">
        <v>429</v>
      </c>
      <c r="B430" t="s">
        <v>12</v>
      </c>
      <c r="C430" s="1">
        <v>5</v>
      </c>
      <c r="D430">
        <v>82.3</v>
      </c>
      <c r="E430" s="1">
        <v>9</v>
      </c>
      <c r="F430" t="s">
        <v>13</v>
      </c>
      <c r="G430" s="2" t="s">
        <v>14</v>
      </c>
      <c r="H430" s="2" t="s">
        <v>14</v>
      </c>
      <c r="I430" t="s">
        <v>15</v>
      </c>
      <c r="J430">
        <v>100</v>
      </c>
      <c r="K430" s="1">
        <v>100</v>
      </c>
      <c r="L430" t="s">
        <v>16</v>
      </c>
    </row>
    <row r="431" spans="1:12" x14ac:dyDescent="0.35">
      <c r="A431">
        <v>430</v>
      </c>
      <c r="B431" t="s">
        <v>17</v>
      </c>
      <c r="C431" s="1">
        <v>1.3</v>
      </c>
      <c r="D431">
        <v>76.099999999999994</v>
      </c>
      <c r="E431" s="1">
        <v>7.8</v>
      </c>
      <c r="F431" t="s">
        <v>19</v>
      </c>
      <c r="G431" s="2" t="s">
        <v>14</v>
      </c>
      <c r="H431" s="2" t="s">
        <v>14</v>
      </c>
      <c r="I431" t="s">
        <v>15</v>
      </c>
      <c r="J431">
        <v>71.2</v>
      </c>
      <c r="K431" s="1">
        <v>72</v>
      </c>
      <c r="L431" t="s">
        <v>22</v>
      </c>
    </row>
    <row r="432" spans="1:12" x14ac:dyDescent="0.35">
      <c r="A432">
        <v>431</v>
      </c>
      <c r="B432" t="s">
        <v>12</v>
      </c>
      <c r="C432" s="1">
        <v>3.9</v>
      </c>
      <c r="D432">
        <v>63.5</v>
      </c>
      <c r="E432" s="1">
        <v>7.4</v>
      </c>
      <c r="F432" t="s">
        <v>18</v>
      </c>
      <c r="G432" s="2" t="s">
        <v>14</v>
      </c>
      <c r="H432" s="2" t="s">
        <v>15</v>
      </c>
      <c r="I432" t="s">
        <v>15</v>
      </c>
      <c r="J432">
        <v>83.4</v>
      </c>
      <c r="K432" s="1">
        <v>81.2</v>
      </c>
      <c r="L432" t="s">
        <v>20</v>
      </c>
    </row>
    <row r="433" spans="1:12" x14ac:dyDescent="0.35">
      <c r="A433">
        <v>432</v>
      </c>
      <c r="B433" t="s">
        <v>17</v>
      </c>
      <c r="C433" s="1">
        <v>4.8</v>
      </c>
      <c r="D433">
        <v>77.8</v>
      </c>
      <c r="E433" s="1">
        <v>7.2</v>
      </c>
      <c r="F433" t="s">
        <v>18</v>
      </c>
      <c r="G433" s="2" t="s">
        <v>14</v>
      </c>
      <c r="H433" s="2" t="s">
        <v>14</v>
      </c>
      <c r="I433" t="s">
        <v>15</v>
      </c>
      <c r="J433">
        <v>72.8</v>
      </c>
      <c r="K433" s="1">
        <v>100</v>
      </c>
      <c r="L433" t="s">
        <v>16</v>
      </c>
    </row>
    <row r="434" spans="1:12" x14ac:dyDescent="0.35">
      <c r="A434">
        <v>433</v>
      </c>
      <c r="B434" t="s">
        <v>12</v>
      </c>
      <c r="C434" s="1">
        <v>3.6</v>
      </c>
      <c r="D434">
        <v>82.9</v>
      </c>
      <c r="E434" s="1">
        <v>7.3</v>
      </c>
      <c r="F434" t="s">
        <v>18</v>
      </c>
      <c r="G434" s="2" t="s">
        <v>14</v>
      </c>
      <c r="H434" s="2" t="s">
        <v>15</v>
      </c>
      <c r="I434" t="s">
        <v>14</v>
      </c>
      <c r="J434">
        <v>76</v>
      </c>
      <c r="K434" s="1">
        <v>79.7</v>
      </c>
      <c r="L434" t="s">
        <v>22</v>
      </c>
    </row>
    <row r="435" spans="1:12" x14ac:dyDescent="0.35">
      <c r="A435">
        <v>434</v>
      </c>
      <c r="B435" t="s">
        <v>17</v>
      </c>
      <c r="C435" s="1">
        <v>5.0999999999999996</v>
      </c>
      <c r="D435">
        <v>75.099999999999994</v>
      </c>
      <c r="E435" s="1">
        <v>4.5</v>
      </c>
      <c r="F435" t="s">
        <v>13</v>
      </c>
      <c r="G435" s="2" t="s">
        <v>14</v>
      </c>
      <c r="H435" s="2" t="s">
        <v>14</v>
      </c>
      <c r="I435" t="s">
        <v>15</v>
      </c>
      <c r="J435">
        <v>65.900000000000006</v>
      </c>
      <c r="K435" s="1">
        <v>89.4</v>
      </c>
      <c r="L435" t="s">
        <v>20</v>
      </c>
    </row>
    <row r="436" spans="1:12" x14ac:dyDescent="0.35">
      <c r="A436">
        <v>435</v>
      </c>
      <c r="B436" t="s">
        <v>17</v>
      </c>
      <c r="C436" s="1">
        <v>2.7</v>
      </c>
      <c r="D436">
        <v>83.7</v>
      </c>
      <c r="E436" s="1">
        <v>6.5</v>
      </c>
      <c r="F436" t="s">
        <v>18</v>
      </c>
      <c r="G436" s="2" t="s">
        <v>14</v>
      </c>
      <c r="H436" s="2" t="s">
        <v>15</v>
      </c>
      <c r="I436" t="s">
        <v>15</v>
      </c>
      <c r="J436">
        <v>72.3</v>
      </c>
      <c r="K436" s="1">
        <v>77.8</v>
      </c>
      <c r="L436" t="s">
        <v>22</v>
      </c>
    </row>
    <row r="437" spans="1:12" x14ac:dyDescent="0.35">
      <c r="A437">
        <v>436</v>
      </c>
      <c r="B437" t="s">
        <v>17</v>
      </c>
      <c r="C437" s="1">
        <v>5.6</v>
      </c>
      <c r="D437">
        <v>85.8</v>
      </c>
      <c r="E437" s="1">
        <v>7.8</v>
      </c>
      <c r="F437" t="s">
        <v>18</v>
      </c>
      <c r="G437" s="2" t="s">
        <v>14</v>
      </c>
      <c r="H437" s="2" t="s">
        <v>14</v>
      </c>
      <c r="I437" t="s">
        <v>14</v>
      </c>
      <c r="J437">
        <v>76.400000000000006</v>
      </c>
      <c r="K437" s="1">
        <v>93.4</v>
      </c>
      <c r="L437" t="s">
        <v>16</v>
      </c>
    </row>
    <row r="438" spans="1:12" x14ac:dyDescent="0.35">
      <c r="A438">
        <v>437</v>
      </c>
      <c r="B438" t="s">
        <v>17</v>
      </c>
      <c r="C438" s="1">
        <v>6.9</v>
      </c>
      <c r="D438">
        <v>82.8</v>
      </c>
      <c r="E438" s="1">
        <v>6.7</v>
      </c>
      <c r="F438" t="s">
        <v>19</v>
      </c>
      <c r="G438" s="2" t="s">
        <v>14</v>
      </c>
      <c r="H438" s="2" t="s">
        <v>14</v>
      </c>
      <c r="I438" t="s">
        <v>14</v>
      </c>
      <c r="J438">
        <v>63.1</v>
      </c>
      <c r="K438" s="1">
        <v>100</v>
      </c>
      <c r="L438" t="s">
        <v>16</v>
      </c>
    </row>
    <row r="439" spans="1:12" x14ac:dyDescent="0.35">
      <c r="A439">
        <v>438</v>
      </c>
      <c r="B439" t="s">
        <v>17</v>
      </c>
      <c r="C439" s="1">
        <v>3</v>
      </c>
      <c r="D439">
        <v>78.5</v>
      </c>
      <c r="E439" s="1">
        <v>5.0999999999999996</v>
      </c>
      <c r="F439" t="s">
        <v>23</v>
      </c>
      <c r="G439" s="2" t="s">
        <v>14</v>
      </c>
      <c r="H439" s="2" t="s">
        <v>14</v>
      </c>
      <c r="I439" t="s">
        <v>15</v>
      </c>
      <c r="J439">
        <v>69.099999999999994</v>
      </c>
      <c r="K439" s="1">
        <v>76.5</v>
      </c>
      <c r="L439" t="s">
        <v>22</v>
      </c>
    </row>
    <row r="440" spans="1:12" x14ac:dyDescent="0.35">
      <c r="A440">
        <v>439</v>
      </c>
      <c r="B440" t="s">
        <v>12</v>
      </c>
      <c r="C440" s="1">
        <v>2.8</v>
      </c>
      <c r="D440">
        <v>86.7</v>
      </c>
      <c r="E440" s="1">
        <v>6.7</v>
      </c>
      <c r="F440" t="s">
        <v>23</v>
      </c>
      <c r="G440" s="2" t="s">
        <v>14</v>
      </c>
      <c r="H440" s="2" t="s">
        <v>15</v>
      </c>
      <c r="I440" t="s">
        <v>15</v>
      </c>
      <c r="J440">
        <v>69.3</v>
      </c>
      <c r="K440" s="1">
        <v>79.3</v>
      </c>
      <c r="L440" t="s">
        <v>22</v>
      </c>
    </row>
    <row r="441" spans="1:12" x14ac:dyDescent="0.35">
      <c r="A441">
        <v>440</v>
      </c>
      <c r="B441" t="s">
        <v>12</v>
      </c>
      <c r="C441" s="1">
        <v>5.7</v>
      </c>
      <c r="D441">
        <v>89.4</v>
      </c>
      <c r="E441" s="1">
        <v>8.8000000000000007</v>
      </c>
      <c r="F441" t="s">
        <v>18</v>
      </c>
      <c r="G441" s="2" t="s">
        <v>15</v>
      </c>
      <c r="H441" s="2" t="s">
        <v>15</v>
      </c>
      <c r="I441" t="s">
        <v>15</v>
      </c>
      <c r="J441">
        <v>79.900000000000006</v>
      </c>
      <c r="K441" s="1">
        <v>100</v>
      </c>
      <c r="L441" t="s">
        <v>16</v>
      </c>
    </row>
    <row r="442" spans="1:12" x14ac:dyDescent="0.35">
      <c r="A442">
        <v>441</v>
      </c>
      <c r="B442" t="s">
        <v>12</v>
      </c>
      <c r="C442" s="1">
        <v>5.9</v>
      </c>
      <c r="D442">
        <v>74.099999999999994</v>
      </c>
      <c r="E442" s="1">
        <v>8.3000000000000007</v>
      </c>
      <c r="F442" t="s">
        <v>18</v>
      </c>
      <c r="G442" s="2" t="s">
        <v>14</v>
      </c>
      <c r="H442" s="2" t="s">
        <v>14</v>
      </c>
      <c r="I442" t="s">
        <v>15</v>
      </c>
      <c r="J442">
        <v>57.2</v>
      </c>
      <c r="K442" s="1">
        <v>98.9</v>
      </c>
      <c r="L442" t="s">
        <v>16</v>
      </c>
    </row>
    <row r="443" spans="1:12" x14ac:dyDescent="0.35">
      <c r="A443">
        <v>442</v>
      </c>
      <c r="B443" t="s">
        <v>17</v>
      </c>
      <c r="C443" s="1">
        <v>2.7</v>
      </c>
      <c r="D443">
        <v>99.1</v>
      </c>
      <c r="E443" s="1">
        <v>6.7</v>
      </c>
      <c r="F443" t="s">
        <v>18</v>
      </c>
      <c r="G443" s="2" t="s">
        <v>14</v>
      </c>
      <c r="H443" s="2" t="s">
        <v>14</v>
      </c>
      <c r="I443" t="s">
        <v>14</v>
      </c>
      <c r="J443">
        <v>69.400000000000006</v>
      </c>
      <c r="K443" s="1">
        <v>87.5</v>
      </c>
      <c r="L443" t="s">
        <v>20</v>
      </c>
    </row>
    <row r="444" spans="1:12" x14ac:dyDescent="0.35">
      <c r="A444">
        <v>443</v>
      </c>
      <c r="B444" t="s">
        <v>12</v>
      </c>
      <c r="C444" s="1">
        <v>2.9</v>
      </c>
      <c r="D444">
        <v>84</v>
      </c>
      <c r="E444" s="1">
        <v>7.9</v>
      </c>
      <c r="F444" t="s">
        <v>23</v>
      </c>
      <c r="G444" s="2" t="s">
        <v>14</v>
      </c>
      <c r="H444" s="2" t="s">
        <v>15</v>
      </c>
      <c r="I444" t="s">
        <v>14</v>
      </c>
      <c r="J444">
        <v>92.9</v>
      </c>
      <c r="K444" s="1">
        <v>85.2</v>
      </c>
      <c r="L444" t="s">
        <v>20</v>
      </c>
    </row>
    <row r="445" spans="1:12" x14ac:dyDescent="0.35">
      <c r="A445">
        <v>444</v>
      </c>
      <c r="B445" t="s">
        <v>17</v>
      </c>
      <c r="C445" s="1">
        <v>3.1</v>
      </c>
      <c r="D445">
        <v>85.2</v>
      </c>
      <c r="E445" s="1">
        <v>6.4</v>
      </c>
      <c r="F445" t="s">
        <v>19</v>
      </c>
      <c r="G445" s="2" t="s">
        <v>14</v>
      </c>
      <c r="H445" s="2" t="s">
        <v>14</v>
      </c>
      <c r="I445" t="s">
        <v>15</v>
      </c>
      <c r="J445">
        <v>84</v>
      </c>
      <c r="K445" s="1">
        <v>86</v>
      </c>
      <c r="L445" t="s">
        <v>20</v>
      </c>
    </row>
    <row r="446" spans="1:12" x14ac:dyDescent="0.35">
      <c r="A446">
        <v>445</v>
      </c>
      <c r="B446" t="s">
        <v>17</v>
      </c>
      <c r="C446" s="1">
        <v>1.5</v>
      </c>
      <c r="D446">
        <v>92.1</v>
      </c>
      <c r="E446" s="1">
        <v>4.8</v>
      </c>
      <c r="F446" t="s">
        <v>13</v>
      </c>
      <c r="G446" s="2" t="s">
        <v>14</v>
      </c>
      <c r="H446" s="2" t="s">
        <v>14</v>
      </c>
      <c r="I446" t="s">
        <v>14</v>
      </c>
      <c r="J446">
        <v>86.2</v>
      </c>
      <c r="K446" s="1">
        <v>80.7</v>
      </c>
      <c r="L446" t="s">
        <v>20</v>
      </c>
    </row>
    <row r="447" spans="1:12" x14ac:dyDescent="0.35">
      <c r="A447">
        <v>446</v>
      </c>
      <c r="B447" t="s">
        <v>12</v>
      </c>
      <c r="C447" s="1">
        <v>2.1</v>
      </c>
      <c r="D447">
        <v>87.3</v>
      </c>
      <c r="E447" s="1">
        <v>5.7</v>
      </c>
      <c r="F447" t="s">
        <v>18</v>
      </c>
      <c r="G447" s="2" t="s">
        <v>14</v>
      </c>
      <c r="H447" s="2" t="s">
        <v>15</v>
      </c>
      <c r="I447" t="s">
        <v>15</v>
      </c>
      <c r="J447">
        <v>70.3</v>
      </c>
      <c r="K447" s="1">
        <v>79.900000000000006</v>
      </c>
      <c r="L447" t="s">
        <v>22</v>
      </c>
    </row>
    <row r="448" spans="1:12" x14ac:dyDescent="0.35">
      <c r="A448">
        <v>447</v>
      </c>
      <c r="B448" t="s">
        <v>12</v>
      </c>
      <c r="C448" s="1">
        <v>2</v>
      </c>
      <c r="D448">
        <v>94.5</v>
      </c>
      <c r="E448" s="1">
        <v>8.6999999999999993</v>
      </c>
      <c r="F448" t="s">
        <v>13</v>
      </c>
      <c r="G448" s="2" t="s">
        <v>14</v>
      </c>
      <c r="H448" s="2" t="s">
        <v>15</v>
      </c>
      <c r="I448" t="s">
        <v>15</v>
      </c>
      <c r="J448">
        <v>73.900000000000006</v>
      </c>
      <c r="K448" s="1">
        <v>79.099999999999994</v>
      </c>
      <c r="L448" t="s">
        <v>22</v>
      </c>
    </row>
    <row r="449" spans="1:12" x14ac:dyDescent="0.35">
      <c r="A449">
        <v>448</v>
      </c>
      <c r="B449" t="s">
        <v>17</v>
      </c>
      <c r="C449" s="1">
        <v>2.2999999999999998</v>
      </c>
      <c r="D449">
        <v>87.9</v>
      </c>
      <c r="E449" s="1">
        <v>6.5</v>
      </c>
      <c r="F449" t="s">
        <v>18</v>
      </c>
      <c r="G449" s="2" t="s">
        <v>14</v>
      </c>
      <c r="H449" s="2" t="s">
        <v>14</v>
      </c>
      <c r="I449" t="s">
        <v>14</v>
      </c>
      <c r="J449">
        <v>82</v>
      </c>
      <c r="K449" s="1">
        <v>87.1</v>
      </c>
      <c r="L449" t="s">
        <v>20</v>
      </c>
    </row>
    <row r="450" spans="1:12" x14ac:dyDescent="0.35">
      <c r="A450">
        <v>449</v>
      </c>
      <c r="B450" t="s">
        <v>12</v>
      </c>
      <c r="C450" s="1">
        <v>3.4</v>
      </c>
      <c r="D450">
        <v>78.900000000000006</v>
      </c>
      <c r="E450" s="1">
        <v>6.5</v>
      </c>
      <c r="F450" t="s">
        <v>13</v>
      </c>
      <c r="G450" s="2" t="s">
        <v>14</v>
      </c>
      <c r="H450" s="2" t="s">
        <v>14</v>
      </c>
      <c r="I450" t="s">
        <v>15</v>
      </c>
      <c r="J450">
        <v>88.7</v>
      </c>
      <c r="K450" s="1">
        <v>90.7</v>
      </c>
      <c r="L450" t="s">
        <v>16</v>
      </c>
    </row>
    <row r="451" spans="1:12" x14ac:dyDescent="0.35">
      <c r="A451">
        <v>450</v>
      </c>
      <c r="B451" t="s">
        <v>17</v>
      </c>
      <c r="C451" s="1">
        <v>3.9</v>
      </c>
      <c r="D451">
        <v>88.6</v>
      </c>
      <c r="E451" s="1">
        <v>6.4</v>
      </c>
      <c r="F451" t="s">
        <v>13</v>
      </c>
      <c r="G451" s="2" t="s">
        <v>14</v>
      </c>
      <c r="H451" s="2" t="s">
        <v>15</v>
      </c>
      <c r="I451" t="s">
        <v>14</v>
      </c>
      <c r="J451">
        <v>46.6</v>
      </c>
      <c r="K451" s="1">
        <v>64.599999999999994</v>
      </c>
      <c r="L451" t="s">
        <v>21</v>
      </c>
    </row>
    <row r="452" spans="1:12" x14ac:dyDescent="0.35">
      <c r="A452">
        <v>451</v>
      </c>
      <c r="B452" t="s">
        <v>17</v>
      </c>
      <c r="C452" s="1">
        <v>5.8</v>
      </c>
      <c r="D452">
        <v>73.599999999999994</v>
      </c>
      <c r="E452" s="1">
        <v>9.1</v>
      </c>
      <c r="F452" t="s">
        <v>23</v>
      </c>
      <c r="G452" s="2" t="s">
        <v>15</v>
      </c>
      <c r="H452" s="2" t="s">
        <v>14</v>
      </c>
      <c r="I452" t="s">
        <v>15</v>
      </c>
      <c r="J452">
        <v>54.2</v>
      </c>
      <c r="K452" s="1">
        <v>77.900000000000006</v>
      </c>
      <c r="L452" t="s">
        <v>22</v>
      </c>
    </row>
    <row r="453" spans="1:12" x14ac:dyDescent="0.35">
      <c r="A453">
        <v>452</v>
      </c>
      <c r="B453" t="s">
        <v>17</v>
      </c>
      <c r="C453" s="1">
        <v>2</v>
      </c>
      <c r="D453">
        <v>86.1</v>
      </c>
      <c r="E453" s="1">
        <v>8.8000000000000007</v>
      </c>
      <c r="F453" t="s">
        <v>18</v>
      </c>
      <c r="G453" s="2" t="s">
        <v>14</v>
      </c>
      <c r="H453" s="2" t="s">
        <v>14</v>
      </c>
      <c r="I453" t="s">
        <v>14</v>
      </c>
      <c r="J453">
        <v>85.7</v>
      </c>
      <c r="K453" s="1">
        <v>82</v>
      </c>
      <c r="L453" t="s">
        <v>20</v>
      </c>
    </row>
    <row r="454" spans="1:12" x14ac:dyDescent="0.35">
      <c r="A454">
        <v>453</v>
      </c>
      <c r="B454" t="s">
        <v>17</v>
      </c>
      <c r="C454" s="1">
        <v>5</v>
      </c>
      <c r="D454">
        <v>84.7</v>
      </c>
      <c r="E454" s="1">
        <v>9.5</v>
      </c>
      <c r="F454" t="s">
        <v>18</v>
      </c>
      <c r="G454" s="2" t="s">
        <v>14</v>
      </c>
      <c r="H454" s="2" t="s">
        <v>15</v>
      </c>
      <c r="I454" t="s">
        <v>15</v>
      </c>
      <c r="J454">
        <v>66.7</v>
      </c>
      <c r="K454" s="1">
        <v>92.8</v>
      </c>
      <c r="L454" t="s">
        <v>16</v>
      </c>
    </row>
    <row r="455" spans="1:12" x14ac:dyDescent="0.35">
      <c r="A455">
        <v>454</v>
      </c>
      <c r="B455" t="s">
        <v>17</v>
      </c>
      <c r="C455" s="1">
        <v>3.2</v>
      </c>
      <c r="D455">
        <v>82.9</v>
      </c>
      <c r="E455" s="1">
        <v>6.6</v>
      </c>
      <c r="F455" t="s">
        <v>19</v>
      </c>
      <c r="G455" s="2" t="s">
        <v>15</v>
      </c>
      <c r="H455" s="2" t="s">
        <v>15</v>
      </c>
      <c r="I455" t="s">
        <v>15</v>
      </c>
      <c r="J455">
        <v>61.9</v>
      </c>
      <c r="K455" s="1">
        <v>85.4</v>
      </c>
      <c r="L455" t="s">
        <v>20</v>
      </c>
    </row>
    <row r="456" spans="1:12" x14ac:dyDescent="0.35">
      <c r="A456">
        <v>455</v>
      </c>
      <c r="B456" t="s">
        <v>12</v>
      </c>
      <c r="C456" s="1">
        <v>3.4</v>
      </c>
      <c r="D456">
        <v>83.7</v>
      </c>
      <c r="E456" s="1">
        <v>7.2</v>
      </c>
      <c r="F456" t="s">
        <v>18</v>
      </c>
      <c r="G456" s="2" t="s">
        <v>14</v>
      </c>
      <c r="H456" s="2" t="s">
        <v>14</v>
      </c>
      <c r="I456" t="s">
        <v>15</v>
      </c>
      <c r="J456">
        <v>55</v>
      </c>
      <c r="K456" s="1">
        <v>80.7</v>
      </c>
      <c r="L456" t="s">
        <v>20</v>
      </c>
    </row>
    <row r="457" spans="1:12" x14ac:dyDescent="0.35">
      <c r="A457">
        <v>456</v>
      </c>
      <c r="B457" t="s">
        <v>12</v>
      </c>
      <c r="C457" s="1">
        <v>4.5</v>
      </c>
      <c r="D457">
        <v>66.2</v>
      </c>
      <c r="E457" s="1">
        <v>5</v>
      </c>
      <c r="F457" t="s">
        <v>18</v>
      </c>
      <c r="G457" s="2" t="s">
        <v>14</v>
      </c>
      <c r="H457" s="2" t="s">
        <v>15</v>
      </c>
      <c r="I457" t="s">
        <v>15</v>
      </c>
      <c r="J457">
        <v>63.3</v>
      </c>
      <c r="K457" s="1">
        <v>72.7</v>
      </c>
      <c r="L457" t="s">
        <v>22</v>
      </c>
    </row>
    <row r="458" spans="1:12" x14ac:dyDescent="0.35">
      <c r="A458">
        <v>457</v>
      </c>
      <c r="B458" t="s">
        <v>17</v>
      </c>
      <c r="C458" s="1">
        <v>1.8</v>
      </c>
      <c r="D458">
        <v>79.5</v>
      </c>
      <c r="E458" s="1">
        <v>8.6</v>
      </c>
      <c r="F458" t="s">
        <v>18</v>
      </c>
      <c r="G458" s="2" t="s">
        <v>14</v>
      </c>
      <c r="H458" s="2" t="s">
        <v>15</v>
      </c>
      <c r="I458" t="s">
        <v>14</v>
      </c>
      <c r="J458">
        <v>53.2</v>
      </c>
      <c r="K458" s="1">
        <v>68.8</v>
      </c>
      <c r="L458" t="s">
        <v>21</v>
      </c>
    </row>
    <row r="459" spans="1:12" x14ac:dyDescent="0.35">
      <c r="A459">
        <v>458</v>
      </c>
      <c r="B459" t="s">
        <v>17</v>
      </c>
      <c r="C459" s="1">
        <v>4.0999999999999996</v>
      </c>
      <c r="D459">
        <v>85.9</v>
      </c>
      <c r="E459" s="1">
        <v>5.4</v>
      </c>
      <c r="F459" t="s">
        <v>18</v>
      </c>
      <c r="G459" s="2" t="s">
        <v>15</v>
      </c>
      <c r="H459" s="2" t="s">
        <v>14</v>
      </c>
      <c r="I459" t="s">
        <v>15</v>
      </c>
      <c r="J459">
        <v>95.1</v>
      </c>
      <c r="K459" s="1">
        <v>89.9</v>
      </c>
      <c r="L459" t="s">
        <v>20</v>
      </c>
    </row>
    <row r="460" spans="1:12" x14ac:dyDescent="0.35">
      <c r="A460">
        <v>459</v>
      </c>
      <c r="B460" t="s">
        <v>12</v>
      </c>
      <c r="C460" s="1">
        <v>3.7</v>
      </c>
      <c r="D460">
        <v>86.6</v>
      </c>
      <c r="E460" s="1">
        <v>7.1</v>
      </c>
      <c r="F460" t="s">
        <v>13</v>
      </c>
      <c r="G460" s="2" t="s">
        <v>15</v>
      </c>
      <c r="H460" s="2" t="s">
        <v>15</v>
      </c>
      <c r="I460" t="s">
        <v>15</v>
      </c>
      <c r="J460">
        <v>69.7</v>
      </c>
      <c r="K460" s="1">
        <v>83.3</v>
      </c>
      <c r="L460" t="s">
        <v>20</v>
      </c>
    </row>
    <row r="461" spans="1:12" x14ac:dyDescent="0.35">
      <c r="A461">
        <v>460</v>
      </c>
      <c r="B461" t="s">
        <v>12</v>
      </c>
      <c r="C461" s="1">
        <v>4.2</v>
      </c>
      <c r="D461">
        <v>74.7</v>
      </c>
      <c r="E461" s="1">
        <v>5.5</v>
      </c>
      <c r="F461" t="s">
        <v>23</v>
      </c>
      <c r="G461" s="2" t="s">
        <v>14</v>
      </c>
      <c r="H461" s="2" t="s">
        <v>14</v>
      </c>
      <c r="I461" t="s">
        <v>15</v>
      </c>
      <c r="J461">
        <v>69.3</v>
      </c>
      <c r="K461" s="1">
        <v>86.8</v>
      </c>
      <c r="L461" t="s">
        <v>20</v>
      </c>
    </row>
    <row r="462" spans="1:12" x14ac:dyDescent="0.35">
      <c r="A462">
        <v>461</v>
      </c>
      <c r="B462" t="s">
        <v>17</v>
      </c>
      <c r="C462" s="1">
        <v>3.9</v>
      </c>
      <c r="D462">
        <v>97.7</v>
      </c>
      <c r="E462" s="1">
        <v>6.1</v>
      </c>
      <c r="F462" t="s">
        <v>18</v>
      </c>
      <c r="G462" s="2" t="s">
        <v>14</v>
      </c>
      <c r="H462" s="2" t="s">
        <v>14</v>
      </c>
      <c r="I462" t="s">
        <v>14</v>
      </c>
      <c r="J462">
        <v>77.099999999999994</v>
      </c>
      <c r="K462" s="1">
        <v>98.2</v>
      </c>
      <c r="L462" t="s">
        <v>16</v>
      </c>
    </row>
    <row r="463" spans="1:12" x14ac:dyDescent="0.35">
      <c r="A463">
        <v>462</v>
      </c>
      <c r="B463" t="s">
        <v>12</v>
      </c>
      <c r="C463" s="1">
        <v>7.2</v>
      </c>
      <c r="D463">
        <v>76.3</v>
      </c>
      <c r="E463" s="1">
        <v>5.8</v>
      </c>
      <c r="F463" t="s">
        <v>13</v>
      </c>
      <c r="G463" s="2" t="s">
        <v>14</v>
      </c>
      <c r="H463" s="2" t="s">
        <v>15</v>
      </c>
      <c r="I463" t="s">
        <v>15</v>
      </c>
      <c r="J463">
        <v>81.5</v>
      </c>
      <c r="K463" s="1">
        <v>100</v>
      </c>
      <c r="L463" t="s">
        <v>16</v>
      </c>
    </row>
    <row r="464" spans="1:12" x14ac:dyDescent="0.35">
      <c r="A464">
        <v>463</v>
      </c>
      <c r="B464" t="s">
        <v>17</v>
      </c>
      <c r="C464" s="1">
        <v>2.5</v>
      </c>
      <c r="D464">
        <v>94.7</v>
      </c>
      <c r="E464" s="1">
        <v>6.1</v>
      </c>
      <c r="F464" t="s">
        <v>23</v>
      </c>
      <c r="G464" s="2" t="s">
        <v>14</v>
      </c>
      <c r="H464" s="2" t="s">
        <v>14</v>
      </c>
      <c r="I464" t="s">
        <v>14</v>
      </c>
      <c r="J464">
        <v>81.400000000000006</v>
      </c>
      <c r="K464" s="1">
        <v>95.1</v>
      </c>
      <c r="L464" t="s">
        <v>16</v>
      </c>
    </row>
    <row r="465" spans="1:12" x14ac:dyDescent="0.35">
      <c r="A465">
        <v>464</v>
      </c>
      <c r="B465" t="s">
        <v>12</v>
      </c>
      <c r="C465" s="1">
        <v>2.7</v>
      </c>
      <c r="D465">
        <v>89.3</v>
      </c>
      <c r="E465" s="1">
        <v>6.2</v>
      </c>
      <c r="F465" t="s">
        <v>13</v>
      </c>
      <c r="G465" s="2" t="s">
        <v>14</v>
      </c>
      <c r="H465" s="2" t="s">
        <v>14</v>
      </c>
      <c r="I465" t="s">
        <v>15</v>
      </c>
      <c r="J465">
        <v>82.9</v>
      </c>
      <c r="K465" s="1">
        <v>93.5</v>
      </c>
      <c r="L465" t="s">
        <v>16</v>
      </c>
    </row>
    <row r="466" spans="1:12" x14ac:dyDescent="0.35">
      <c r="A466">
        <v>465</v>
      </c>
      <c r="B466" t="s">
        <v>17</v>
      </c>
      <c r="C466" s="1">
        <v>2.6</v>
      </c>
      <c r="D466">
        <v>78.5</v>
      </c>
      <c r="E466" s="1">
        <v>6.1</v>
      </c>
      <c r="F466" t="s">
        <v>24</v>
      </c>
      <c r="G466" s="2" t="s">
        <v>15</v>
      </c>
      <c r="H466" s="2" t="s">
        <v>14</v>
      </c>
      <c r="I466" t="s">
        <v>14</v>
      </c>
      <c r="J466">
        <v>62.4</v>
      </c>
      <c r="K466" s="1">
        <v>63.2</v>
      </c>
      <c r="L466" t="s">
        <v>21</v>
      </c>
    </row>
    <row r="467" spans="1:12" x14ac:dyDescent="0.35">
      <c r="A467">
        <v>466</v>
      </c>
      <c r="B467" t="s">
        <v>12</v>
      </c>
      <c r="C467" s="1">
        <v>2.7</v>
      </c>
      <c r="D467">
        <v>100</v>
      </c>
      <c r="E467" s="1">
        <v>7.8</v>
      </c>
      <c r="F467" t="s">
        <v>24</v>
      </c>
      <c r="G467" s="2" t="s">
        <v>14</v>
      </c>
      <c r="H467" s="2" t="s">
        <v>14</v>
      </c>
      <c r="I467" t="s">
        <v>15</v>
      </c>
      <c r="J467">
        <v>66.400000000000006</v>
      </c>
      <c r="K467" s="1">
        <v>100</v>
      </c>
      <c r="L467" t="s">
        <v>16</v>
      </c>
    </row>
    <row r="468" spans="1:12" x14ac:dyDescent="0.35">
      <c r="A468">
        <v>467</v>
      </c>
      <c r="B468" t="s">
        <v>17</v>
      </c>
      <c r="C468" s="1">
        <v>2.5</v>
      </c>
      <c r="D468">
        <v>73.099999999999994</v>
      </c>
      <c r="E468" s="1">
        <v>5.5</v>
      </c>
      <c r="F468" t="s">
        <v>18</v>
      </c>
      <c r="G468" s="2" t="s">
        <v>14</v>
      </c>
      <c r="H468" s="2" t="s">
        <v>15</v>
      </c>
      <c r="I468" t="s">
        <v>14</v>
      </c>
      <c r="J468">
        <v>79.2</v>
      </c>
      <c r="K468" s="1">
        <v>77.099999999999994</v>
      </c>
      <c r="L468" t="s">
        <v>22</v>
      </c>
    </row>
    <row r="469" spans="1:12" x14ac:dyDescent="0.35">
      <c r="A469">
        <v>468</v>
      </c>
      <c r="B469" t="s">
        <v>12</v>
      </c>
      <c r="C469" s="1">
        <v>5.3</v>
      </c>
      <c r="D469">
        <v>94.2</v>
      </c>
      <c r="E469" s="1">
        <v>7.1</v>
      </c>
      <c r="F469" t="s">
        <v>23</v>
      </c>
      <c r="G469" s="2" t="s">
        <v>14</v>
      </c>
      <c r="H469" s="2" t="s">
        <v>15</v>
      </c>
      <c r="I469" t="s">
        <v>15</v>
      </c>
      <c r="J469">
        <v>63.7</v>
      </c>
      <c r="K469" s="1">
        <v>88.8</v>
      </c>
      <c r="L469" t="s">
        <v>20</v>
      </c>
    </row>
    <row r="470" spans="1:12" x14ac:dyDescent="0.35">
      <c r="A470">
        <v>469</v>
      </c>
      <c r="B470" t="s">
        <v>12</v>
      </c>
      <c r="C470" s="1">
        <v>5.6</v>
      </c>
      <c r="D470">
        <v>95</v>
      </c>
      <c r="E470" s="1">
        <v>8.3000000000000007</v>
      </c>
      <c r="F470" t="s">
        <v>13</v>
      </c>
      <c r="G470" s="2" t="s">
        <v>14</v>
      </c>
      <c r="H470" s="2" t="s">
        <v>15</v>
      </c>
      <c r="I470" t="s">
        <v>15</v>
      </c>
      <c r="J470">
        <v>69.900000000000006</v>
      </c>
      <c r="K470" s="1">
        <v>100</v>
      </c>
      <c r="L470" t="s">
        <v>16</v>
      </c>
    </row>
    <row r="471" spans="1:12" x14ac:dyDescent="0.35">
      <c r="A471">
        <v>470</v>
      </c>
      <c r="B471" t="s">
        <v>17</v>
      </c>
      <c r="C471" s="1">
        <v>2.6</v>
      </c>
      <c r="D471">
        <v>78.3</v>
      </c>
      <c r="E471" s="1">
        <v>6.2</v>
      </c>
      <c r="F471" t="s">
        <v>19</v>
      </c>
      <c r="G471" s="2" t="s">
        <v>14</v>
      </c>
      <c r="H471" s="2" t="s">
        <v>14</v>
      </c>
      <c r="I471" t="s">
        <v>14</v>
      </c>
      <c r="J471">
        <v>74.8</v>
      </c>
      <c r="K471" s="1">
        <v>89.9</v>
      </c>
      <c r="L471" t="s">
        <v>20</v>
      </c>
    </row>
    <row r="472" spans="1:12" x14ac:dyDescent="0.35">
      <c r="A472">
        <v>471</v>
      </c>
      <c r="B472" t="s">
        <v>12</v>
      </c>
      <c r="C472" s="1">
        <v>2.2999999999999998</v>
      </c>
      <c r="D472">
        <v>98.9</v>
      </c>
      <c r="E472" s="1">
        <v>5.9</v>
      </c>
      <c r="F472" t="s">
        <v>13</v>
      </c>
      <c r="G472" s="2" t="s">
        <v>14</v>
      </c>
      <c r="H472" s="2" t="s">
        <v>14</v>
      </c>
      <c r="I472" t="s">
        <v>15</v>
      </c>
      <c r="J472">
        <v>79.400000000000006</v>
      </c>
      <c r="K472" s="1">
        <v>87.6</v>
      </c>
      <c r="L472" t="s">
        <v>20</v>
      </c>
    </row>
    <row r="473" spans="1:12" x14ac:dyDescent="0.35">
      <c r="A473">
        <v>472</v>
      </c>
      <c r="B473" t="s">
        <v>17</v>
      </c>
      <c r="C473" s="1">
        <v>4.2</v>
      </c>
      <c r="D473">
        <v>82.5</v>
      </c>
      <c r="E473" s="1">
        <v>6.5</v>
      </c>
      <c r="F473" t="s">
        <v>19</v>
      </c>
      <c r="G473" s="2" t="s">
        <v>15</v>
      </c>
      <c r="H473" s="2" t="s">
        <v>14</v>
      </c>
      <c r="I473" t="s">
        <v>14</v>
      </c>
      <c r="J473">
        <v>48.7</v>
      </c>
      <c r="K473" s="1">
        <v>68</v>
      </c>
      <c r="L473" t="s">
        <v>21</v>
      </c>
    </row>
    <row r="474" spans="1:12" x14ac:dyDescent="0.35">
      <c r="A474">
        <v>473</v>
      </c>
      <c r="B474" t="s">
        <v>12</v>
      </c>
      <c r="C474" s="1">
        <v>2.7</v>
      </c>
      <c r="D474">
        <v>87.9</v>
      </c>
      <c r="E474" s="1">
        <v>8.1999999999999993</v>
      </c>
      <c r="F474" t="s">
        <v>23</v>
      </c>
      <c r="G474" s="2" t="s">
        <v>15</v>
      </c>
      <c r="H474" s="2" t="s">
        <v>14</v>
      </c>
      <c r="I474" t="s">
        <v>15</v>
      </c>
      <c r="J474">
        <v>78.599999999999994</v>
      </c>
      <c r="K474" s="1">
        <v>82.2</v>
      </c>
      <c r="L474" t="s">
        <v>20</v>
      </c>
    </row>
    <row r="475" spans="1:12" x14ac:dyDescent="0.35">
      <c r="A475">
        <v>474</v>
      </c>
      <c r="B475" t="s">
        <v>17</v>
      </c>
      <c r="C475" s="1">
        <v>4.4000000000000004</v>
      </c>
      <c r="D475">
        <v>87.6</v>
      </c>
      <c r="E475" s="1">
        <v>7</v>
      </c>
      <c r="F475" t="s">
        <v>18</v>
      </c>
      <c r="G475" s="2" t="s">
        <v>14</v>
      </c>
      <c r="H475" s="2" t="s">
        <v>14</v>
      </c>
      <c r="I475" t="s">
        <v>15</v>
      </c>
      <c r="J475">
        <v>67.2</v>
      </c>
      <c r="K475" s="1">
        <v>94</v>
      </c>
      <c r="L475" t="s">
        <v>16</v>
      </c>
    </row>
    <row r="476" spans="1:12" x14ac:dyDescent="0.35">
      <c r="A476">
        <v>475</v>
      </c>
      <c r="B476" t="s">
        <v>12</v>
      </c>
      <c r="C476" s="1">
        <v>3.8</v>
      </c>
      <c r="D476">
        <v>83.7</v>
      </c>
      <c r="E476" s="1">
        <v>6.2</v>
      </c>
      <c r="F476" t="s">
        <v>13</v>
      </c>
      <c r="G476" s="2" t="s">
        <v>15</v>
      </c>
      <c r="H476" s="2" t="s">
        <v>15</v>
      </c>
      <c r="I476" t="s">
        <v>15</v>
      </c>
      <c r="J476">
        <v>78.5</v>
      </c>
      <c r="K476" s="1">
        <v>90.9</v>
      </c>
      <c r="L476" t="s">
        <v>16</v>
      </c>
    </row>
    <row r="477" spans="1:12" x14ac:dyDescent="0.35">
      <c r="A477">
        <v>476</v>
      </c>
      <c r="B477" t="s">
        <v>17</v>
      </c>
      <c r="C477" s="1">
        <v>1.2</v>
      </c>
      <c r="D477">
        <v>93.1</v>
      </c>
      <c r="E477" s="1">
        <v>7.4</v>
      </c>
      <c r="F477" t="s">
        <v>19</v>
      </c>
      <c r="G477" s="2" t="s">
        <v>14</v>
      </c>
      <c r="H477" s="2" t="s">
        <v>15</v>
      </c>
      <c r="I477" t="s">
        <v>15</v>
      </c>
      <c r="J477">
        <v>79.3</v>
      </c>
      <c r="K477" s="1">
        <v>85</v>
      </c>
      <c r="L477" t="s">
        <v>20</v>
      </c>
    </row>
    <row r="478" spans="1:12" x14ac:dyDescent="0.35">
      <c r="A478">
        <v>477</v>
      </c>
      <c r="B478" t="s">
        <v>12</v>
      </c>
      <c r="C478" s="1">
        <v>5.8</v>
      </c>
      <c r="D478">
        <v>92.9</v>
      </c>
      <c r="E478" s="1">
        <v>5.5</v>
      </c>
      <c r="F478" t="s">
        <v>24</v>
      </c>
      <c r="G478" s="2" t="s">
        <v>14</v>
      </c>
      <c r="H478" s="2" t="s">
        <v>15</v>
      </c>
      <c r="I478" t="s">
        <v>14</v>
      </c>
      <c r="J478">
        <v>89.3</v>
      </c>
      <c r="K478" s="1">
        <v>100</v>
      </c>
      <c r="L478" t="s">
        <v>16</v>
      </c>
    </row>
    <row r="479" spans="1:12" x14ac:dyDescent="0.35">
      <c r="A479">
        <v>478</v>
      </c>
      <c r="B479" t="s">
        <v>17</v>
      </c>
      <c r="C479" s="1">
        <v>6.2</v>
      </c>
      <c r="D479">
        <v>67.5</v>
      </c>
      <c r="E479" s="1">
        <v>7.6</v>
      </c>
      <c r="F479" t="s">
        <v>18</v>
      </c>
      <c r="G479" s="2" t="s">
        <v>14</v>
      </c>
      <c r="H479" s="2" t="s">
        <v>14</v>
      </c>
      <c r="I479" t="s">
        <v>15</v>
      </c>
      <c r="J479">
        <v>86.2</v>
      </c>
      <c r="K479" s="1">
        <v>100</v>
      </c>
      <c r="L479" t="s">
        <v>16</v>
      </c>
    </row>
    <row r="480" spans="1:12" x14ac:dyDescent="0.35">
      <c r="A480">
        <v>479</v>
      </c>
      <c r="B480" t="s">
        <v>12</v>
      </c>
      <c r="C480" s="1">
        <v>2.6</v>
      </c>
      <c r="D480">
        <v>98</v>
      </c>
      <c r="E480" s="1">
        <v>7.3</v>
      </c>
      <c r="F480" t="s">
        <v>23</v>
      </c>
      <c r="G480" s="2" t="s">
        <v>14</v>
      </c>
      <c r="H480" s="2" t="s">
        <v>15</v>
      </c>
      <c r="I480" t="s">
        <v>14</v>
      </c>
      <c r="J480">
        <v>86.2</v>
      </c>
      <c r="K480" s="1">
        <v>87.4</v>
      </c>
      <c r="L480" t="s">
        <v>20</v>
      </c>
    </row>
    <row r="481" spans="1:12" x14ac:dyDescent="0.35">
      <c r="A481">
        <v>480</v>
      </c>
      <c r="B481" t="s">
        <v>17</v>
      </c>
      <c r="C481" s="1">
        <v>2.9</v>
      </c>
      <c r="D481">
        <v>68.400000000000006</v>
      </c>
      <c r="E481" s="1">
        <v>6.4</v>
      </c>
      <c r="F481" t="s">
        <v>18</v>
      </c>
      <c r="G481" s="2" t="s">
        <v>15</v>
      </c>
      <c r="H481" s="2" t="s">
        <v>14</v>
      </c>
      <c r="I481" t="s">
        <v>15</v>
      </c>
      <c r="J481">
        <v>87.3</v>
      </c>
      <c r="K481" s="1">
        <v>84.8</v>
      </c>
      <c r="L481" t="s">
        <v>20</v>
      </c>
    </row>
    <row r="482" spans="1:12" x14ac:dyDescent="0.35">
      <c r="A482">
        <v>481</v>
      </c>
      <c r="B482" t="s">
        <v>17</v>
      </c>
      <c r="C482" s="1">
        <v>3.9</v>
      </c>
      <c r="D482">
        <v>95.3</v>
      </c>
      <c r="E482" s="1">
        <v>5.8</v>
      </c>
      <c r="F482" t="s">
        <v>18</v>
      </c>
      <c r="G482" s="2" t="s">
        <v>14</v>
      </c>
      <c r="H482" s="2" t="s">
        <v>14</v>
      </c>
      <c r="I482" t="s">
        <v>15</v>
      </c>
      <c r="J482">
        <v>73.5</v>
      </c>
      <c r="K482" s="1">
        <v>89.5</v>
      </c>
      <c r="L482" t="s">
        <v>20</v>
      </c>
    </row>
    <row r="483" spans="1:12" x14ac:dyDescent="0.35">
      <c r="A483">
        <v>482</v>
      </c>
      <c r="B483" t="s">
        <v>17</v>
      </c>
      <c r="C483" s="1">
        <v>4</v>
      </c>
      <c r="D483">
        <v>96.3</v>
      </c>
      <c r="E483" s="1">
        <v>5.7</v>
      </c>
      <c r="F483" t="s">
        <v>13</v>
      </c>
      <c r="G483" s="2" t="s">
        <v>14</v>
      </c>
      <c r="H483" s="2" t="s">
        <v>15</v>
      </c>
      <c r="I483" t="s">
        <v>15</v>
      </c>
      <c r="J483">
        <v>70.400000000000006</v>
      </c>
      <c r="K483" s="1">
        <v>92.3</v>
      </c>
      <c r="L483" t="s">
        <v>16</v>
      </c>
    </row>
    <row r="484" spans="1:12" x14ac:dyDescent="0.35">
      <c r="A484">
        <v>483</v>
      </c>
      <c r="B484" t="s">
        <v>12</v>
      </c>
      <c r="C484" s="1">
        <v>4.5</v>
      </c>
      <c r="D484">
        <v>74.099999999999994</v>
      </c>
      <c r="E484" s="1">
        <v>7.4</v>
      </c>
      <c r="F484" t="s">
        <v>18</v>
      </c>
      <c r="G484" s="2" t="s">
        <v>14</v>
      </c>
      <c r="H484" s="2" t="s">
        <v>15</v>
      </c>
      <c r="I484" t="s">
        <v>14</v>
      </c>
      <c r="J484">
        <v>80.5</v>
      </c>
      <c r="K484" s="1">
        <v>86.6</v>
      </c>
      <c r="L484" t="s">
        <v>20</v>
      </c>
    </row>
    <row r="485" spans="1:12" x14ac:dyDescent="0.35">
      <c r="A485">
        <v>484</v>
      </c>
      <c r="B485" t="s">
        <v>17</v>
      </c>
      <c r="C485" s="1">
        <v>6.5</v>
      </c>
      <c r="D485">
        <v>80.900000000000006</v>
      </c>
      <c r="E485" s="1">
        <v>8.3000000000000007</v>
      </c>
      <c r="F485" t="s">
        <v>23</v>
      </c>
      <c r="G485" s="2" t="s">
        <v>14</v>
      </c>
      <c r="H485" s="2" t="s">
        <v>14</v>
      </c>
      <c r="I485" t="s">
        <v>15</v>
      </c>
      <c r="J485">
        <v>78.8</v>
      </c>
      <c r="K485" s="1">
        <v>100</v>
      </c>
      <c r="L485" t="s">
        <v>16</v>
      </c>
    </row>
    <row r="486" spans="1:12" x14ac:dyDescent="0.35">
      <c r="A486">
        <v>485</v>
      </c>
      <c r="B486" t="s">
        <v>12</v>
      </c>
      <c r="C486" s="1">
        <v>3.2</v>
      </c>
      <c r="D486">
        <v>73.900000000000006</v>
      </c>
      <c r="E486" s="1">
        <v>6</v>
      </c>
      <c r="F486" t="s">
        <v>18</v>
      </c>
      <c r="G486" s="2" t="s">
        <v>14</v>
      </c>
      <c r="H486" s="2" t="s">
        <v>14</v>
      </c>
      <c r="I486" t="s">
        <v>15</v>
      </c>
      <c r="J486">
        <v>66.3</v>
      </c>
      <c r="K486" s="1">
        <v>75.7</v>
      </c>
      <c r="L486" t="s">
        <v>22</v>
      </c>
    </row>
    <row r="487" spans="1:12" x14ac:dyDescent="0.35">
      <c r="A487">
        <v>486</v>
      </c>
      <c r="B487" t="s">
        <v>17</v>
      </c>
      <c r="C487" s="1">
        <v>2.2999999999999998</v>
      </c>
      <c r="D487">
        <v>82.9</v>
      </c>
      <c r="E487" s="1">
        <v>7.4</v>
      </c>
      <c r="F487" t="s">
        <v>23</v>
      </c>
      <c r="G487" s="2" t="s">
        <v>14</v>
      </c>
      <c r="H487" s="2" t="s">
        <v>14</v>
      </c>
      <c r="I487" t="s">
        <v>14</v>
      </c>
      <c r="J487">
        <v>74.900000000000006</v>
      </c>
      <c r="K487" s="1">
        <v>87.3</v>
      </c>
      <c r="L487" t="s">
        <v>20</v>
      </c>
    </row>
    <row r="488" spans="1:12" x14ac:dyDescent="0.35">
      <c r="A488">
        <v>487</v>
      </c>
      <c r="B488" t="s">
        <v>12</v>
      </c>
      <c r="C488" s="1">
        <v>1.4</v>
      </c>
      <c r="D488">
        <v>81.900000000000006</v>
      </c>
      <c r="E488" s="1">
        <v>4.3</v>
      </c>
      <c r="F488" t="s">
        <v>18</v>
      </c>
      <c r="G488" s="2" t="s">
        <v>14</v>
      </c>
      <c r="H488" s="2" t="s">
        <v>15</v>
      </c>
      <c r="I488" t="s">
        <v>15</v>
      </c>
      <c r="J488">
        <v>69.599999999999994</v>
      </c>
      <c r="K488" s="1">
        <v>66.599999999999994</v>
      </c>
      <c r="L488" t="s">
        <v>21</v>
      </c>
    </row>
    <row r="489" spans="1:12" x14ac:dyDescent="0.35">
      <c r="A489">
        <v>488</v>
      </c>
      <c r="B489" t="s">
        <v>17</v>
      </c>
      <c r="C489" s="1">
        <v>2.4</v>
      </c>
      <c r="D489">
        <v>92.8</v>
      </c>
      <c r="E489" s="1">
        <v>6.1</v>
      </c>
      <c r="F489" t="s">
        <v>18</v>
      </c>
      <c r="G489" s="2" t="s">
        <v>14</v>
      </c>
      <c r="H489" s="2" t="s">
        <v>14</v>
      </c>
      <c r="I489" t="s">
        <v>15</v>
      </c>
      <c r="J489">
        <v>59.8</v>
      </c>
      <c r="K489" s="1">
        <v>74.099999999999994</v>
      </c>
      <c r="L489" t="s">
        <v>22</v>
      </c>
    </row>
    <row r="490" spans="1:12" x14ac:dyDescent="0.35">
      <c r="A490">
        <v>489</v>
      </c>
      <c r="B490" t="s">
        <v>12</v>
      </c>
      <c r="C490" s="1">
        <v>3.5</v>
      </c>
      <c r="D490">
        <v>98.1</v>
      </c>
      <c r="E490" s="1">
        <v>6.8</v>
      </c>
      <c r="F490" t="s">
        <v>18</v>
      </c>
      <c r="G490" s="2" t="s">
        <v>14</v>
      </c>
      <c r="H490" s="2" t="s">
        <v>15</v>
      </c>
      <c r="I490" t="s">
        <v>15</v>
      </c>
      <c r="J490">
        <v>85.5</v>
      </c>
      <c r="K490" s="1">
        <v>100</v>
      </c>
      <c r="L490" t="s">
        <v>16</v>
      </c>
    </row>
    <row r="491" spans="1:12" x14ac:dyDescent="0.35">
      <c r="A491">
        <v>490</v>
      </c>
      <c r="B491" t="s">
        <v>12</v>
      </c>
      <c r="C491" s="1">
        <v>6.2</v>
      </c>
      <c r="D491">
        <v>99</v>
      </c>
      <c r="E491" s="1">
        <v>5.7</v>
      </c>
      <c r="F491" t="s">
        <v>18</v>
      </c>
      <c r="G491" s="2" t="s">
        <v>14</v>
      </c>
      <c r="H491" s="2" t="s">
        <v>14</v>
      </c>
      <c r="I491" t="s">
        <v>15</v>
      </c>
      <c r="J491">
        <v>70.7</v>
      </c>
      <c r="K491" s="1">
        <v>100</v>
      </c>
      <c r="L491" t="s">
        <v>16</v>
      </c>
    </row>
    <row r="492" spans="1:12" x14ac:dyDescent="0.35">
      <c r="A492">
        <v>491</v>
      </c>
      <c r="B492" t="s">
        <v>17</v>
      </c>
      <c r="C492" s="1">
        <v>2.7</v>
      </c>
      <c r="D492">
        <v>79.400000000000006</v>
      </c>
      <c r="E492" s="1">
        <v>5.7</v>
      </c>
      <c r="F492" t="s">
        <v>18</v>
      </c>
      <c r="G492" s="2" t="s">
        <v>14</v>
      </c>
      <c r="H492" s="2" t="s">
        <v>14</v>
      </c>
      <c r="I492" t="s">
        <v>15</v>
      </c>
      <c r="J492">
        <v>94.6</v>
      </c>
      <c r="K492" s="1">
        <v>74.3</v>
      </c>
      <c r="L492" t="s">
        <v>22</v>
      </c>
    </row>
    <row r="493" spans="1:12" x14ac:dyDescent="0.35">
      <c r="A493">
        <v>492</v>
      </c>
      <c r="B493" t="s">
        <v>12</v>
      </c>
      <c r="C493" s="1">
        <v>3.8</v>
      </c>
      <c r="D493">
        <v>82.9</v>
      </c>
      <c r="E493" s="1">
        <v>6</v>
      </c>
      <c r="F493" t="s">
        <v>18</v>
      </c>
      <c r="G493" s="2" t="s">
        <v>14</v>
      </c>
      <c r="H493" s="2" t="s">
        <v>14</v>
      </c>
      <c r="I493" t="s">
        <v>14</v>
      </c>
      <c r="J493">
        <v>50.5</v>
      </c>
      <c r="K493" s="1">
        <v>71.099999999999994</v>
      </c>
      <c r="L493" t="s">
        <v>22</v>
      </c>
    </row>
    <row r="494" spans="1:12" x14ac:dyDescent="0.35">
      <c r="A494">
        <v>493</v>
      </c>
      <c r="B494" t="s">
        <v>12</v>
      </c>
      <c r="C494" s="1">
        <v>3.5</v>
      </c>
      <c r="D494">
        <v>68.2</v>
      </c>
      <c r="E494" s="1">
        <v>7.2</v>
      </c>
      <c r="F494" t="s">
        <v>13</v>
      </c>
      <c r="G494" s="2" t="s">
        <v>14</v>
      </c>
      <c r="H494" s="2" t="s">
        <v>14</v>
      </c>
      <c r="I494" t="s">
        <v>15</v>
      </c>
      <c r="J494">
        <v>63.3</v>
      </c>
      <c r="K494" s="1">
        <v>66.7</v>
      </c>
      <c r="L494" t="s">
        <v>21</v>
      </c>
    </row>
    <row r="495" spans="1:12" x14ac:dyDescent="0.35">
      <c r="A495">
        <v>494</v>
      </c>
      <c r="B495" t="s">
        <v>17</v>
      </c>
      <c r="C495" s="1">
        <v>5.3</v>
      </c>
      <c r="D495">
        <v>76.900000000000006</v>
      </c>
      <c r="E495" s="1">
        <v>6.6</v>
      </c>
      <c r="F495" t="s">
        <v>18</v>
      </c>
      <c r="G495" s="2" t="s">
        <v>14</v>
      </c>
      <c r="H495" s="2" t="s">
        <v>14</v>
      </c>
      <c r="I495" t="s">
        <v>14</v>
      </c>
      <c r="J495">
        <v>70.400000000000006</v>
      </c>
      <c r="K495" s="1">
        <v>82.1</v>
      </c>
      <c r="L495" t="s">
        <v>20</v>
      </c>
    </row>
    <row r="496" spans="1:12" x14ac:dyDescent="0.35">
      <c r="A496">
        <v>495</v>
      </c>
      <c r="B496" t="s">
        <v>12</v>
      </c>
      <c r="C496" s="1">
        <v>7.3</v>
      </c>
      <c r="D496">
        <v>94.6</v>
      </c>
      <c r="E496" s="1">
        <v>4.0999999999999996</v>
      </c>
      <c r="F496" t="s">
        <v>13</v>
      </c>
      <c r="G496" s="2" t="s">
        <v>14</v>
      </c>
      <c r="H496" s="2" t="s">
        <v>15</v>
      </c>
      <c r="I496" t="s">
        <v>15</v>
      </c>
      <c r="J496">
        <v>83.6</v>
      </c>
      <c r="K496" s="1">
        <v>88.5</v>
      </c>
      <c r="L496" t="s">
        <v>20</v>
      </c>
    </row>
    <row r="497" spans="1:12" x14ac:dyDescent="0.35">
      <c r="A497">
        <v>496</v>
      </c>
      <c r="B497" t="s">
        <v>12</v>
      </c>
      <c r="C497" s="1">
        <v>2.7</v>
      </c>
      <c r="D497">
        <v>100</v>
      </c>
      <c r="E497" s="1">
        <v>4.3</v>
      </c>
      <c r="F497" t="s">
        <v>13</v>
      </c>
      <c r="G497" s="2" t="s">
        <v>15</v>
      </c>
      <c r="H497" s="2" t="s">
        <v>15</v>
      </c>
      <c r="I497" t="s">
        <v>15</v>
      </c>
      <c r="J497">
        <v>74.8</v>
      </c>
      <c r="K497" s="1">
        <v>79.400000000000006</v>
      </c>
      <c r="L497" t="s">
        <v>22</v>
      </c>
    </row>
    <row r="498" spans="1:12" x14ac:dyDescent="0.35">
      <c r="A498">
        <v>497</v>
      </c>
      <c r="B498" t="s">
        <v>12</v>
      </c>
      <c r="C498" s="1">
        <v>2.8</v>
      </c>
      <c r="D498">
        <v>72.7</v>
      </c>
      <c r="E498" s="1">
        <v>6.1</v>
      </c>
      <c r="F498" t="s">
        <v>24</v>
      </c>
      <c r="G498" s="2" t="s">
        <v>14</v>
      </c>
      <c r="H498" s="2" t="s">
        <v>15</v>
      </c>
      <c r="I498" t="s">
        <v>15</v>
      </c>
      <c r="J498">
        <v>73.7</v>
      </c>
      <c r="K498" s="1">
        <v>71</v>
      </c>
      <c r="L498" t="s">
        <v>22</v>
      </c>
    </row>
    <row r="499" spans="1:12" x14ac:dyDescent="0.35">
      <c r="A499">
        <v>498</v>
      </c>
      <c r="B499" t="s">
        <v>17</v>
      </c>
      <c r="C499" s="1">
        <v>5.0999999999999996</v>
      </c>
      <c r="D499">
        <v>79.099999999999994</v>
      </c>
      <c r="E499" s="1">
        <v>7.3</v>
      </c>
      <c r="F499" t="s">
        <v>19</v>
      </c>
      <c r="G499" s="2" t="s">
        <v>14</v>
      </c>
      <c r="H499" s="2" t="s">
        <v>15</v>
      </c>
      <c r="I499" t="s">
        <v>15</v>
      </c>
      <c r="J499">
        <v>56.5</v>
      </c>
      <c r="K499" s="1">
        <v>85.4</v>
      </c>
      <c r="L499" t="s">
        <v>20</v>
      </c>
    </row>
    <row r="500" spans="1:12" x14ac:dyDescent="0.35">
      <c r="A500">
        <v>499</v>
      </c>
      <c r="B500" t="s">
        <v>12</v>
      </c>
      <c r="C500" s="1">
        <v>4.5</v>
      </c>
      <c r="D500">
        <v>84.7</v>
      </c>
      <c r="E500" s="1">
        <v>3.5</v>
      </c>
      <c r="F500" t="s">
        <v>13</v>
      </c>
      <c r="G500" s="2" t="s">
        <v>15</v>
      </c>
      <c r="H500" s="2" t="s">
        <v>15</v>
      </c>
      <c r="I500" t="s">
        <v>14</v>
      </c>
      <c r="J500">
        <v>56.1</v>
      </c>
      <c r="K500" s="1">
        <v>61.8</v>
      </c>
      <c r="L500" t="s">
        <v>21</v>
      </c>
    </row>
    <row r="501" spans="1:12" x14ac:dyDescent="0.35">
      <c r="A501">
        <v>500</v>
      </c>
      <c r="B501" t="s">
        <v>17</v>
      </c>
      <c r="C501" s="1">
        <v>6.3</v>
      </c>
      <c r="D501">
        <v>87.8</v>
      </c>
      <c r="E501" s="1">
        <v>6.2</v>
      </c>
      <c r="F501" t="s">
        <v>18</v>
      </c>
      <c r="G501" s="2" t="s">
        <v>14</v>
      </c>
      <c r="H501" s="2" t="s">
        <v>15</v>
      </c>
      <c r="I501" t="s">
        <v>15</v>
      </c>
      <c r="J501">
        <v>73.900000000000006</v>
      </c>
      <c r="K501" s="1">
        <v>99.6</v>
      </c>
      <c r="L501" t="s">
        <v>16</v>
      </c>
    </row>
    <row r="502" spans="1:12" x14ac:dyDescent="0.35">
      <c r="A502">
        <v>501</v>
      </c>
      <c r="B502" t="s">
        <v>12</v>
      </c>
      <c r="C502" s="1">
        <v>4.4000000000000004</v>
      </c>
      <c r="D502">
        <v>76.900000000000006</v>
      </c>
      <c r="E502" s="1">
        <v>6.2</v>
      </c>
      <c r="F502" t="s">
        <v>18</v>
      </c>
      <c r="G502" s="2" t="s">
        <v>14</v>
      </c>
      <c r="H502" s="2" t="s">
        <v>15</v>
      </c>
      <c r="I502" t="s">
        <v>15</v>
      </c>
      <c r="J502">
        <v>53.6</v>
      </c>
      <c r="K502" s="1">
        <v>76.099999999999994</v>
      </c>
      <c r="L502" t="s">
        <v>22</v>
      </c>
    </row>
    <row r="503" spans="1:12" x14ac:dyDescent="0.35">
      <c r="A503">
        <v>502</v>
      </c>
      <c r="B503" t="s">
        <v>12</v>
      </c>
      <c r="C503" s="1">
        <v>3</v>
      </c>
      <c r="D503">
        <v>89.2</v>
      </c>
      <c r="E503" s="1">
        <v>8.5</v>
      </c>
      <c r="F503" t="s">
        <v>19</v>
      </c>
      <c r="G503" s="2" t="s">
        <v>14</v>
      </c>
      <c r="H503" s="2" t="s">
        <v>14</v>
      </c>
      <c r="I503" t="s">
        <v>14</v>
      </c>
      <c r="J503">
        <v>63.6</v>
      </c>
      <c r="K503" s="1">
        <v>90.4</v>
      </c>
      <c r="L503" t="s">
        <v>16</v>
      </c>
    </row>
    <row r="504" spans="1:12" x14ac:dyDescent="0.35">
      <c r="A504">
        <v>503</v>
      </c>
      <c r="B504" t="s">
        <v>12</v>
      </c>
      <c r="C504" s="1">
        <v>4.4000000000000004</v>
      </c>
      <c r="D504">
        <v>80.3</v>
      </c>
      <c r="E504" s="1">
        <v>6.3</v>
      </c>
      <c r="F504" t="s">
        <v>18</v>
      </c>
      <c r="G504" s="2" t="s">
        <v>15</v>
      </c>
      <c r="H504" s="2" t="s">
        <v>14</v>
      </c>
      <c r="I504" t="s">
        <v>15</v>
      </c>
      <c r="J504">
        <v>76</v>
      </c>
      <c r="K504" s="1">
        <v>93.3</v>
      </c>
      <c r="L504" t="s">
        <v>16</v>
      </c>
    </row>
    <row r="505" spans="1:12" x14ac:dyDescent="0.35">
      <c r="A505">
        <v>504</v>
      </c>
      <c r="B505" t="s">
        <v>17</v>
      </c>
      <c r="C505" s="1">
        <v>5.2</v>
      </c>
      <c r="D505">
        <v>84.9</v>
      </c>
      <c r="E505" s="1">
        <v>7.3</v>
      </c>
      <c r="F505" t="s">
        <v>18</v>
      </c>
      <c r="G505" s="2" t="s">
        <v>15</v>
      </c>
      <c r="H505" s="2" t="s">
        <v>14</v>
      </c>
      <c r="I505" t="s">
        <v>15</v>
      </c>
      <c r="J505">
        <v>58.2</v>
      </c>
      <c r="K505" s="1">
        <v>88.9</v>
      </c>
      <c r="L505" t="s">
        <v>20</v>
      </c>
    </row>
    <row r="506" spans="1:12" x14ac:dyDescent="0.35">
      <c r="A506">
        <v>505</v>
      </c>
      <c r="B506" t="s">
        <v>12</v>
      </c>
      <c r="C506" s="1">
        <v>4.7</v>
      </c>
      <c r="D506">
        <v>90.5</v>
      </c>
      <c r="E506" s="1">
        <v>7</v>
      </c>
      <c r="F506" t="s">
        <v>18</v>
      </c>
      <c r="G506" s="2" t="s">
        <v>14</v>
      </c>
      <c r="H506" s="2" t="s">
        <v>14</v>
      </c>
      <c r="I506" t="s">
        <v>15</v>
      </c>
      <c r="J506">
        <v>89.3</v>
      </c>
      <c r="K506" s="1">
        <v>99</v>
      </c>
      <c r="L506" t="s">
        <v>16</v>
      </c>
    </row>
    <row r="507" spans="1:12" x14ac:dyDescent="0.35">
      <c r="A507">
        <v>506</v>
      </c>
      <c r="B507" t="s">
        <v>12</v>
      </c>
      <c r="C507" s="1">
        <v>4.3</v>
      </c>
      <c r="D507">
        <v>85.1</v>
      </c>
      <c r="E507" s="1">
        <v>4.2</v>
      </c>
      <c r="F507" t="s">
        <v>18</v>
      </c>
      <c r="G507" s="2" t="s">
        <v>14</v>
      </c>
      <c r="H507" s="2" t="s">
        <v>14</v>
      </c>
      <c r="I507" t="s">
        <v>14</v>
      </c>
      <c r="J507">
        <v>84.7</v>
      </c>
      <c r="K507" s="1">
        <v>100</v>
      </c>
      <c r="L507" t="s">
        <v>16</v>
      </c>
    </row>
    <row r="508" spans="1:12" x14ac:dyDescent="0.35">
      <c r="A508">
        <v>507</v>
      </c>
      <c r="B508" t="s">
        <v>17</v>
      </c>
      <c r="C508" s="1">
        <v>5.0999999999999996</v>
      </c>
      <c r="D508">
        <v>80.599999999999994</v>
      </c>
      <c r="E508" s="1">
        <v>7.7</v>
      </c>
      <c r="F508" t="s">
        <v>18</v>
      </c>
      <c r="G508" s="2" t="s">
        <v>14</v>
      </c>
      <c r="H508" s="2" t="s">
        <v>15</v>
      </c>
      <c r="I508" t="s">
        <v>15</v>
      </c>
      <c r="J508">
        <v>51.1</v>
      </c>
      <c r="K508" s="1">
        <v>74.5</v>
      </c>
      <c r="L508" t="s">
        <v>22</v>
      </c>
    </row>
    <row r="509" spans="1:12" x14ac:dyDescent="0.35">
      <c r="A509">
        <v>508</v>
      </c>
      <c r="B509" t="s">
        <v>12</v>
      </c>
      <c r="C509" s="1">
        <v>5.3</v>
      </c>
      <c r="D509">
        <v>83.9</v>
      </c>
      <c r="E509" s="1">
        <v>7.1</v>
      </c>
      <c r="F509" t="s">
        <v>23</v>
      </c>
      <c r="G509" s="2" t="s">
        <v>15</v>
      </c>
      <c r="H509" s="2" t="s">
        <v>14</v>
      </c>
      <c r="I509" t="s">
        <v>14</v>
      </c>
      <c r="J509">
        <v>58.8</v>
      </c>
      <c r="K509" s="1">
        <v>72.8</v>
      </c>
      <c r="L509" t="s">
        <v>22</v>
      </c>
    </row>
    <row r="510" spans="1:12" x14ac:dyDescent="0.35">
      <c r="A510">
        <v>509</v>
      </c>
      <c r="B510" t="s">
        <v>17</v>
      </c>
      <c r="C510" s="1">
        <v>5.6</v>
      </c>
      <c r="D510">
        <v>84.1</v>
      </c>
      <c r="E510" s="1">
        <v>7.4</v>
      </c>
      <c r="F510" t="s">
        <v>18</v>
      </c>
      <c r="G510" s="2" t="s">
        <v>15</v>
      </c>
      <c r="H510" s="2" t="s">
        <v>14</v>
      </c>
      <c r="I510" t="s">
        <v>14</v>
      </c>
      <c r="J510">
        <v>42.6</v>
      </c>
      <c r="K510" s="1">
        <v>76.099999999999994</v>
      </c>
      <c r="L510" t="s">
        <v>22</v>
      </c>
    </row>
    <row r="511" spans="1:12" x14ac:dyDescent="0.35">
      <c r="A511">
        <v>510</v>
      </c>
      <c r="B511" t="s">
        <v>17</v>
      </c>
      <c r="C511" s="1">
        <v>4.5</v>
      </c>
      <c r="D511">
        <v>81.3</v>
      </c>
      <c r="E511" s="1">
        <v>10</v>
      </c>
      <c r="F511" t="s">
        <v>13</v>
      </c>
      <c r="G511" s="2" t="s">
        <v>14</v>
      </c>
      <c r="H511" s="2" t="s">
        <v>14</v>
      </c>
      <c r="I511" t="s">
        <v>14</v>
      </c>
      <c r="J511">
        <v>60.6</v>
      </c>
      <c r="K511" s="1">
        <v>99.5</v>
      </c>
      <c r="L511" t="s">
        <v>16</v>
      </c>
    </row>
    <row r="512" spans="1:12" x14ac:dyDescent="0.35">
      <c r="A512">
        <v>511</v>
      </c>
      <c r="B512" t="s">
        <v>12</v>
      </c>
      <c r="C512" s="1">
        <v>3.2</v>
      </c>
      <c r="D512">
        <v>82.4</v>
      </c>
      <c r="E512" s="1">
        <v>4.3</v>
      </c>
      <c r="F512" t="s">
        <v>18</v>
      </c>
      <c r="G512" s="2" t="s">
        <v>14</v>
      </c>
      <c r="H512" s="2" t="s">
        <v>14</v>
      </c>
      <c r="I512" t="s">
        <v>14</v>
      </c>
      <c r="J512">
        <v>79.2</v>
      </c>
      <c r="K512" s="1">
        <v>79.900000000000006</v>
      </c>
      <c r="L512" t="s">
        <v>22</v>
      </c>
    </row>
    <row r="513" spans="1:12" x14ac:dyDescent="0.35">
      <c r="A513">
        <v>512</v>
      </c>
      <c r="B513" t="s">
        <v>17</v>
      </c>
      <c r="C513" s="1">
        <v>3.7</v>
      </c>
      <c r="D513">
        <v>100</v>
      </c>
      <c r="E513" s="1">
        <v>8.9</v>
      </c>
      <c r="F513" t="s">
        <v>18</v>
      </c>
      <c r="G513" s="2" t="s">
        <v>14</v>
      </c>
      <c r="H513" s="2" t="s">
        <v>14</v>
      </c>
      <c r="I513" t="s">
        <v>14</v>
      </c>
      <c r="J513">
        <v>65</v>
      </c>
      <c r="K513" s="1">
        <v>88.2</v>
      </c>
      <c r="L513" t="s">
        <v>20</v>
      </c>
    </row>
    <row r="514" spans="1:12" x14ac:dyDescent="0.35">
      <c r="A514">
        <v>513</v>
      </c>
      <c r="B514" t="s">
        <v>12</v>
      </c>
      <c r="C514" s="1">
        <v>5.3</v>
      </c>
      <c r="D514">
        <v>90.6</v>
      </c>
      <c r="E514" s="1">
        <v>6.5</v>
      </c>
      <c r="F514" t="s">
        <v>19</v>
      </c>
      <c r="G514" s="2" t="s">
        <v>14</v>
      </c>
      <c r="H514" s="2" t="s">
        <v>14</v>
      </c>
      <c r="I514" t="s">
        <v>15</v>
      </c>
      <c r="J514">
        <v>75.5</v>
      </c>
      <c r="K514" s="1">
        <v>88.9</v>
      </c>
      <c r="L514" t="s">
        <v>20</v>
      </c>
    </row>
    <row r="515" spans="1:12" x14ac:dyDescent="0.35">
      <c r="A515">
        <v>514</v>
      </c>
      <c r="B515" t="s">
        <v>17</v>
      </c>
      <c r="C515" s="1">
        <v>2.2999999999999998</v>
      </c>
      <c r="D515">
        <v>82</v>
      </c>
      <c r="E515" s="1">
        <v>7.1</v>
      </c>
      <c r="F515" t="s">
        <v>18</v>
      </c>
      <c r="G515" s="2" t="s">
        <v>14</v>
      </c>
      <c r="H515" s="2" t="s">
        <v>14</v>
      </c>
      <c r="I515" t="s">
        <v>15</v>
      </c>
      <c r="J515">
        <v>51.7</v>
      </c>
      <c r="K515" s="1">
        <v>77.900000000000006</v>
      </c>
      <c r="L515" t="s">
        <v>22</v>
      </c>
    </row>
    <row r="516" spans="1:12" x14ac:dyDescent="0.35">
      <c r="A516">
        <v>515</v>
      </c>
      <c r="B516" t="s">
        <v>17</v>
      </c>
      <c r="C516" s="1">
        <v>4.0999999999999996</v>
      </c>
      <c r="D516">
        <v>92</v>
      </c>
      <c r="E516" s="1">
        <v>6.7</v>
      </c>
      <c r="F516" t="s">
        <v>23</v>
      </c>
      <c r="G516" s="2" t="s">
        <v>14</v>
      </c>
      <c r="H516" s="2" t="s">
        <v>14</v>
      </c>
      <c r="I516" t="s">
        <v>14</v>
      </c>
      <c r="J516">
        <v>79.599999999999994</v>
      </c>
      <c r="K516" s="1">
        <v>97.2</v>
      </c>
      <c r="L516" t="s">
        <v>16</v>
      </c>
    </row>
    <row r="517" spans="1:12" x14ac:dyDescent="0.35">
      <c r="A517">
        <v>516</v>
      </c>
      <c r="B517" t="s">
        <v>12</v>
      </c>
      <c r="C517" s="1">
        <v>2.9</v>
      </c>
      <c r="D517">
        <v>81.7</v>
      </c>
      <c r="E517" s="1">
        <v>6.3</v>
      </c>
      <c r="F517" t="s">
        <v>13</v>
      </c>
      <c r="G517" s="2" t="s">
        <v>14</v>
      </c>
      <c r="H517" s="2" t="s">
        <v>15</v>
      </c>
      <c r="I517" t="s">
        <v>14</v>
      </c>
      <c r="J517">
        <v>63.3</v>
      </c>
      <c r="K517" s="1">
        <v>79.3</v>
      </c>
      <c r="L517" t="s">
        <v>22</v>
      </c>
    </row>
    <row r="518" spans="1:12" x14ac:dyDescent="0.35">
      <c r="A518">
        <v>517</v>
      </c>
      <c r="B518" t="s">
        <v>17</v>
      </c>
      <c r="C518" s="1">
        <v>3.5</v>
      </c>
      <c r="D518">
        <v>96.7</v>
      </c>
      <c r="E518" s="1">
        <v>6.1</v>
      </c>
      <c r="F518" t="s">
        <v>18</v>
      </c>
      <c r="G518" s="2" t="s">
        <v>14</v>
      </c>
      <c r="H518" s="2" t="s">
        <v>15</v>
      </c>
      <c r="I518" t="s">
        <v>15</v>
      </c>
      <c r="J518">
        <v>70.099999999999994</v>
      </c>
      <c r="K518" s="1">
        <v>84.2</v>
      </c>
      <c r="L518" t="s">
        <v>20</v>
      </c>
    </row>
    <row r="519" spans="1:12" x14ac:dyDescent="0.35">
      <c r="A519">
        <v>518</v>
      </c>
      <c r="B519" t="s">
        <v>17</v>
      </c>
      <c r="C519" s="1">
        <v>5.4</v>
      </c>
      <c r="D519">
        <v>88.7</v>
      </c>
      <c r="E519" s="1">
        <v>7.2</v>
      </c>
      <c r="F519" t="s">
        <v>19</v>
      </c>
      <c r="G519" s="2" t="s">
        <v>15</v>
      </c>
      <c r="H519" s="2" t="s">
        <v>14</v>
      </c>
      <c r="I519" t="s">
        <v>15</v>
      </c>
      <c r="J519">
        <v>68.900000000000006</v>
      </c>
      <c r="K519" s="1">
        <v>86.3</v>
      </c>
      <c r="L519" t="s">
        <v>20</v>
      </c>
    </row>
    <row r="520" spans="1:12" x14ac:dyDescent="0.35">
      <c r="A520">
        <v>519</v>
      </c>
      <c r="B520" t="s">
        <v>17</v>
      </c>
      <c r="C520" s="1">
        <v>3.8</v>
      </c>
      <c r="D520">
        <v>83.9</v>
      </c>
      <c r="E520" s="1">
        <v>5</v>
      </c>
      <c r="F520" t="s">
        <v>18</v>
      </c>
      <c r="G520" s="2" t="s">
        <v>14</v>
      </c>
      <c r="H520" s="2" t="s">
        <v>14</v>
      </c>
      <c r="I520" t="s">
        <v>14</v>
      </c>
      <c r="J520">
        <v>54.7</v>
      </c>
      <c r="K520" s="1">
        <v>67.599999999999994</v>
      </c>
      <c r="L520" t="s">
        <v>21</v>
      </c>
    </row>
    <row r="521" spans="1:12" x14ac:dyDescent="0.35">
      <c r="A521">
        <v>520</v>
      </c>
      <c r="B521" t="s">
        <v>17</v>
      </c>
      <c r="C521" s="1">
        <v>3.6</v>
      </c>
      <c r="D521">
        <v>89.5</v>
      </c>
      <c r="E521" s="1">
        <v>7.7</v>
      </c>
      <c r="F521" t="s">
        <v>24</v>
      </c>
      <c r="G521" s="2" t="s">
        <v>14</v>
      </c>
      <c r="H521" s="2" t="s">
        <v>14</v>
      </c>
      <c r="I521" t="s">
        <v>14</v>
      </c>
      <c r="J521">
        <v>56.2</v>
      </c>
      <c r="K521" s="1">
        <v>80.7</v>
      </c>
      <c r="L521" t="s">
        <v>20</v>
      </c>
    </row>
    <row r="522" spans="1:12" x14ac:dyDescent="0.35">
      <c r="A522">
        <v>521</v>
      </c>
      <c r="B522" t="s">
        <v>17</v>
      </c>
      <c r="C522" s="1">
        <v>1.5</v>
      </c>
      <c r="D522">
        <v>69.3</v>
      </c>
      <c r="E522" s="1">
        <v>6.3</v>
      </c>
      <c r="F522" t="s">
        <v>18</v>
      </c>
      <c r="G522" s="2" t="s">
        <v>14</v>
      </c>
      <c r="H522" s="2" t="s">
        <v>15</v>
      </c>
      <c r="I522" t="s">
        <v>14</v>
      </c>
      <c r="J522">
        <v>81.599999999999994</v>
      </c>
      <c r="K522" s="1">
        <v>64.7</v>
      </c>
      <c r="L522" t="s">
        <v>21</v>
      </c>
    </row>
    <row r="523" spans="1:12" x14ac:dyDescent="0.35">
      <c r="A523">
        <v>522</v>
      </c>
      <c r="B523" t="s">
        <v>12</v>
      </c>
      <c r="C523" s="1">
        <v>4.5999999999999996</v>
      </c>
      <c r="D523">
        <v>73.7</v>
      </c>
      <c r="E523" s="1">
        <v>5.4</v>
      </c>
      <c r="F523" t="s">
        <v>24</v>
      </c>
      <c r="G523" s="2" t="s">
        <v>15</v>
      </c>
      <c r="H523" s="2" t="s">
        <v>14</v>
      </c>
      <c r="I523" t="s">
        <v>14</v>
      </c>
      <c r="J523">
        <v>74.8</v>
      </c>
      <c r="K523" s="1">
        <v>71.8</v>
      </c>
      <c r="L523" t="s">
        <v>22</v>
      </c>
    </row>
    <row r="524" spans="1:12" x14ac:dyDescent="0.35">
      <c r="A524">
        <v>523</v>
      </c>
      <c r="B524" t="s">
        <v>17</v>
      </c>
      <c r="C524" s="1">
        <v>4.5</v>
      </c>
      <c r="D524">
        <v>73.099999999999994</v>
      </c>
      <c r="E524" s="1">
        <v>6.3</v>
      </c>
      <c r="F524" t="s">
        <v>18</v>
      </c>
      <c r="G524" s="2" t="s">
        <v>14</v>
      </c>
      <c r="H524" s="2" t="s">
        <v>14</v>
      </c>
      <c r="I524" t="s">
        <v>14</v>
      </c>
      <c r="J524">
        <v>82.6</v>
      </c>
      <c r="K524" s="1">
        <v>84.9</v>
      </c>
      <c r="L524" t="s">
        <v>20</v>
      </c>
    </row>
    <row r="525" spans="1:12" x14ac:dyDescent="0.35">
      <c r="A525">
        <v>524</v>
      </c>
      <c r="B525" t="s">
        <v>12</v>
      </c>
      <c r="C525" s="1">
        <v>6.7</v>
      </c>
      <c r="D525">
        <v>86.4</v>
      </c>
      <c r="E525" s="1">
        <v>8.3000000000000007</v>
      </c>
      <c r="F525" t="s">
        <v>13</v>
      </c>
      <c r="G525" s="2" t="s">
        <v>14</v>
      </c>
      <c r="H525" s="2" t="s">
        <v>15</v>
      </c>
      <c r="I525" t="s">
        <v>15</v>
      </c>
      <c r="J525">
        <v>73.900000000000006</v>
      </c>
      <c r="K525" s="1">
        <v>100</v>
      </c>
      <c r="L525" t="s">
        <v>16</v>
      </c>
    </row>
    <row r="526" spans="1:12" x14ac:dyDescent="0.35">
      <c r="A526">
        <v>525</v>
      </c>
      <c r="B526" t="s">
        <v>17</v>
      </c>
      <c r="C526" s="1">
        <v>3</v>
      </c>
      <c r="D526">
        <v>100</v>
      </c>
      <c r="E526" s="1">
        <v>6.2</v>
      </c>
      <c r="F526" t="s">
        <v>23</v>
      </c>
      <c r="G526" s="2" t="s">
        <v>14</v>
      </c>
      <c r="H526" s="2" t="s">
        <v>14</v>
      </c>
      <c r="I526" t="s">
        <v>14</v>
      </c>
      <c r="J526">
        <v>71.7</v>
      </c>
      <c r="K526" s="1">
        <v>82.4</v>
      </c>
      <c r="L526" t="s">
        <v>20</v>
      </c>
    </row>
    <row r="527" spans="1:12" x14ac:dyDescent="0.35">
      <c r="A527">
        <v>526</v>
      </c>
      <c r="B527" t="s">
        <v>12</v>
      </c>
      <c r="C527" s="1">
        <v>3.8</v>
      </c>
      <c r="D527">
        <v>100</v>
      </c>
      <c r="E527" s="1">
        <v>7.2</v>
      </c>
      <c r="F527" t="s">
        <v>19</v>
      </c>
      <c r="G527" s="2" t="s">
        <v>14</v>
      </c>
      <c r="H527" s="2" t="s">
        <v>14</v>
      </c>
      <c r="I527" t="s">
        <v>15</v>
      </c>
      <c r="J527">
        <v>49.3</v>
      </c>
      <c r="K527" s="1">
        <v>87.3</v>
      </c>
      <c r="L527" t="s">
        <v>20</v>
      </c>
    </row>
    <row r="528" spans="1:12" x14ac:dyDescent="0.35">
      <c r="A528">
        <v>527</v>
      </c>
      <c r="B528" t="s">
        <v>12</v>
      </c>
      <c r="C528" s="1">
        <v>3.9</v>
      </c>
      <c r="D528">
        <v>91.4</v>
      </c>
      <c r="E528" s="1">
        <v>5.9</v>
      </c>
      <c r="F528" t="s">
        <v>19</v>
      </c>
      <c r="G528" s="2" t="s">
        <v>14</v>
      </c>
      <c r="H528" s="2" t="s">
        <v>14</v>
      </c>
      <c r="I528" t="s">
        <v>14</v>
      </c>
      <c r="J528">
        <v>66.8</v>
      </c>
      <c r="K528" s="1">
        <v>84.8</v>
      </c>
      <c r="L528" t="s">
        <v>20</v>
      </c>
    </row>
    <row r="529" spans="1:12" x14ac:dyDescent="0.35">
      <c r="A529">
        <v>528</v>
      </c>
      <c r="B529" t="s">
        <v>17</v>
      </c>
      <c r="C529" s="1">
        <v>5.9</v>
      </c>
      <c r="D529">
        <v>90</v>
      </c>
      <c r="E529" s="1">
        <v>7.7</v>
      </c>
      <c r="F529" t="s">
        <v>23</v>
      </c>
      <c r="G529" s="2" t="s">
        <v>14</v>
      </c>
      <c r="H529" s="2" t="s">
        <v>15</v>
      </c>
      <c r="I529" t="s">
        <v>15</v>
      </c>
      <c r="J529">
        <v>69.7</v>
      </c>
      <c r="K529" s="1">
        <v>96.4</v>
      </c>
      <c r="L529" t="s">
        <v>16</v>
      </c>
    </row>
    <row r="530" spans="1:12" x14ac:dyDescent="0.35">
      <c r="A530">
        <v>529</v>
      </c>
      <c r="B530" t="s">
        <v>17</v>
      </c>
      <c r="C530" s="1">
        <v>3.4</v>
      </c>
      <c r="D530">
        <v>67</v>
      </c>
      <c r="E530" s="1">
        <v>7.6</v>
      </c>
      <c r="F530" t="s">
        <v>24</v>
      </c>
      <c r="G530" s="2" t="s">
        <v>15</v>
      </c>
      <c r="H530" s="2" t="s">
        <v>15</v>
      </c>
      <c r="I530" t="s">
        <v>15</v>
      </c>
      <c r="J530">
        <v>93.4</v>
      </c>
      <c r="K530" s="1">
        <v>84.3</v>
      </c>
      <c r="L530" t="s">
        <v>20</v>
      </c>
    </row>
    <row r="531" spans="1:12" x14ac:dyDescent="0.35">
      <c r="A531">
        <v>530</v>
      </c>
      <c r="B531" t="s">
        <v>17</v>
      </c>
      <c r="C531" s="1">
        <v>3.9</v>
      </c>
      <c r="D531">
        <v>79.599999999999994</v>
      </c>
      <c r="E531" s="1">
        <v>9</v>
      </c>
      <c r="F531" t="s">
        <v>18</v>
      </c>
      <c r="G531" s="2" t="s">
        <v>14</v>
      </c>
      <c r="H531" s="2" t="s">
        <v>15</v>
      </c>
      <c r="I531" t="s">
        <v>15</v>
      </c>
      <c r="J531">
        <v>78.2</v>
      </c>
      <c r="K531" s="1">
        <v>84.5</v>
      </c>
      <c r="L531" t="s">
        <v>20</v>
      </c>
    </row>
    <row r="532" spans="1:12" x14ac:dyDescent="0.35">
      <c r="A532">
        <v>531</v>
      </c>
      <c r="B532" t="s">
        <v>12</v>
      </c>
      <c r="C532" s="1">
        <v>4.4000000000000004</v>
      </c>
      <c r="D532">
        <v>77.099999999999994</v>
      </c>
      <c r="E532" s="1">
        <v>6.6</v>
      </c>
      <c r="F532" t="s">
        <v>18</v>
      </c>
      <c r="G532" s="2" t="s">
        <v>14</v>
      </c>
      <c r="H532" s="2" t="s">
        <v>14</v>
      </c>
      <c r="I532" t="s">
        <v>15</v>
      </c>
      <c r="J532">
        <v>88.4</v>
      </c>
      <c r="K532" s="1">
        <v>94.7</v>
      </c>
      <c r="L532" t="s">
        <v>16</v>
      </c>
    </row>
    <row r="533" spans="1:12" x14ac:dyDescent="0.35">
      <c r="A533">
        <v>532</v>
      </c>
      <c r="B533" t="s">
        <v>17</v>
      </c>
      <c r="C533" s="1">
        <v>3.8</v>
      </c>
      <c r="D533">
        <v>78.8</v>
      </c>
      <c r="E533" s="1">
        <v>7.6</v>
      </c>
      <c r="F533" t="s">
        <v>18</v>
      </c>
      <c r="G533" s="2" t="s">
        <v>14</v>
      </c>
      <c r="H533" s="2" t="s">
        <v>14</v>
      </c>
      <c r="I533" t="s">
        <v>15</v>
      </c>
      <c r="J533">
        <v>77.2</v>
      </c>
      <c r="K533" s="1">
        <v>89.6</v>
      </c>
      <c r="L533" t="s">
        <v>20</v>
      </c>
    </row>
    <row r="534" spans="1:12" x14ac:dyDescent="0.35">
      <c r="A534">
        <v>533</v>
      </c>
      <c r="B534" t="s">
        <v>12</v>
      </c>
      <c r="C534" s="1">
        <v>2.8</v>
      </c>
      <c r="D534">
        <v>83.3</v>
      </c>
      <c r="E534" s="1">
        <v>6.9</v>
      </c>
      <c r="F534" t="s">
        <v>13</v>
      </c>
      <c r="G534" s="2" t="s">
        <v>14</v>
      </c>
      <c r="H534" s="2" t="s">
        <v>15</v>
      </c>
      <c r="I534" t="s">
        <v>15</v>
      </c>
      <c r="J534">
        <v>61.5</v>
      </c>
      <c r="K534" s="1">
        <v>68.599999999999994</v>
      </c>
      <c r="L534" t="s">
        <v>21</v>
      </c>
    </row>
    <row r="535" spans="1:12" x14ac:dyDescent="0.35">
      <c r="A535">
        <v>534</v>
      </c>
      <c r="B535" t="s">
        <v>12</v>
      </c>
      <c r="C535" s="1">
        <v>3.8</v>
      </c>
      <c r="D535">
        <v>80.3</v>
      </c>
      <c r="E535" s="1">
        <v>8.4</v>
      </c>
      <c r="F535" t="s">
        <v>13</v>
      </c>
      <c r="G535" s="2" t="s">
        <v>14</v>
      </c>
      <c r="H535" s="2" t="s">
        <v>15</v>
      </c>
      <c r="I535" t="s">
        <v>15</v>
      </c>
      <c r="J535">
        <v>71.400000000000006</v>
      </c>
      <c r="K535" s="1">
        <v>92.8</v>
      </c>
      <c r="L535" t="s">
        <v>16</v>
      </c>
    </row>
    <row r="536" spans="1:12" x14ac:dyDescent="0.35">
      <c r="A536">
        <v>535</v>
      </c>
      <c r="B536" t="s">
        <v>12</v>
      </c>
      <c r="C536" s="1">
        <v>5.0999999999999996</v>
      </c>
      <c r="D536">
        <v>65.2</v>
      </c>
      <c r="E536" s="1">
        <v>5.9</v>
      </c>
      <c r="F536" t="s">
        <v>13</v>
      </c>
      <c r="G536" s="2" t="s">
        <v>14</v>
      </c>
      <c r="H536" s="2" t="s">
        <v>14</v>
      </c>
      <c r="I536" t="s">
        <v>15</v>
      </c>
      <c r="J536">
        <v>72.8</v>
      </c>
      <c r="K536" s="1">
        <v>80.7</v>
      </c>
      <c r="L536" t="s">
        <v>20</v>
      </c>
    </row>
    <row r="537" spans="1:12" x14ac:dyDescent="0.35">
      <c r="A537">
        <v>536</v>
      </c>
      <c r="B537" t="s">
        <v>17</v>
      </c>
      <c r="C537" s="1">
        <v>2</v>
      </c>
      <c r="D537">
        <v>92.5</v>
      </c>
      <c r="E537" s="1">
        <v>7.7</v>
      </c>
      <c r="F537" t="s">
        <v>18</v>
      </c>
      <c r="G537" s="2" t="s">
        <v>14</v>
      </c>
      <c r="H537" s="2" t="s">
        <v>15</v>
      </c>
      <c r="I537" t="s">
        <v>15</v>
      </c>
      <c r="J537">
        <v>58.7</v>
      </c>
      <c r="K537" s="1">
        <v>77.599999999999994</v>
      </c>
      <c r="L537" t="s">
        <v>22</v>
      </c>
    </row>
    <row r="538" spans="1:12" x14ac:dyDescent="0.35">
      <c r="A538">
        <v>537</v>
      </c>
      <c r="B538" t="s">
        <v>17</v>
      </c>
      <c r="C538" s="1">
        <v>3.7</v>
      </c>
      <c r="D538">
        <v>74.3</v>
      </c>
      <c r="E538" s="1">
        <v>6.6</v>
      </c>
      <c r="F538" t="s">
        <v>23</v>
      </c>
      <c r="G538" s="2" t="s">
        <v>14</v>
      </c>
      <c r="H538" s="2" t="s">
        <v>14</v>
      </c>
      <c r="I538" t="s">
        <v>15</v>
      </c>
      <c r="J538">
        <v>65.400000000000006</v>
      </c>
      <c r="K538" s="1">
        <v>87.7</v>
      </c>
      <c r="L538" t="s">
        <v>20</v>
      </c>
    </row>
    <row r="539" spans="1:12" x14ac:dyDescent="0.35">
      <c r="A539">
        <v>538</v>
      </c>
      <c r="B539" t="s">
        <v>12</v>
      </c>
      <c r="C539" s="1">
        <v>2.4</v>
      </c>
      <c r="D539">
        <v>87.4</v>
      </c>
      <c r="E539" s="1">
        <v>6.7</v>
      </c>
      <c r="F539" t="s">
        <v>18</v>
      </c>
      <c r="G539" s="2" t="s">
        <v>14</v>
      </c>
      <c r="H539" s="2" t="s">
        <v>14</v>
      </c>
      <c r="I539" t="s">
        <v>15</v>
      </c>
      <c r="J539">
        <v>67.5</v>
      </c>
      <c r="K539" s="1">
        <v>86</v>
      </c>
      <c r="L539" t="s">
        <v>20</v>
      </c>
    </row>
    <row r="540" spans="1:12" x14ac:dyDescent="0.35">
      <c r="A540">
        <v>539</v>
      </c>
      <c r="B540" t="s">
        <v>12</v>
      </c>
      <c r="C540" s="1">
        <v>5.3</v>
      </c>
      <c r="D540">
        <v>100</v>
      </c>
      <c r="E540" s="1">
        <v>6.9</v>
      </c>
      <c r="F540" t="s">
        <v>18</v>
      </c>
      <c r="G540" s="2" t="s">
        <v>14</v>
      </c>
      <c r="H540" s="2" t="s">
        <v>15</v>
      </c>
      <c r="I540" t="s">
        <v>15</v>
      </c>
      <c r="J540">
        <v>89.3</v>
      </c>
      <c r="K540" s="1">
        <v>100</v>
      </c>
      <c r="L540" t="s">
        <v>16</v>
      </c>
    </row>
    <row r="541" spans="1:12" x14ac:dyDescent="0.35">
      <c r="A541">
        <v>540</v>
      </c>
      <c r="B541" t="s">
        <v>17</v>
      </c>
      <c r="C541" s="1">
        <v>1.2</v>
      </c>
      <c r="D541">
        <v>75.8</v>
      </c>
      <c r="E541" s="1">
        <v>7.1</v>
      </c>
      <c r="F541" t="s">
        <v>13</v>
      </c>
      <c r="G541" s="2" t="s">
        <v>14</v>
      </c>
      <c r="H541" s="2" t="s">
        <v>14</v>
      </c>
      <c r="I541" t="s">
        <v>14</v>
      </c>
      <c r="J541">
        <v>45</v>
      </c>
      <c r="K541" s="1">
        <v>57.3</v>
      </c>
      <c r="L541" t="s">
        <v>25</v>
      </c>
    </row>
    <row r="542" spans="1:12" x14ac:dyDescent="0.35">
      <c r="A542">
        <v>541</v>
      </c>
      <c r="B542" t="s">
        <v>12</v>
      </c>
      <c r="C542" s="1">
        <v>2.7</v>
      </c>
      <c r="D542">
        <v>59.7</v>
      </c>
      <c r="E542" s="1">
        <v>6.7</v>
      </c>
      <c r="F542" t="s">
        <v>23</v>
      </c>
      <c r="G542" s="2" t="s">
        <v>15</v>
      </c>
      <c r="H542" s="2" t="s">
        <v>15</v>
      </c>
      <c r="I542" t="s">
        <v>14</v>
      </c>
      <c r="J542">
        <v>84.5</v>
      </c>
      <c r="K542" s="1">
        <v>75.599999999999994</v>
      </c>
      <c r="L542" t="s">
        <v>22</v>
      </c>
    </row>
    <row r="543" spans="1:12" x14ac:dyDescent="0.35">
      <c r="A543">
        <v>542</v>
      </c>
      <c r="B543" t="s">
        <v>17</v>
      </c>
      <c r="C543" s="1">
        <v>4.0999999999999996</v>
      </c>
      <c r="D543">
        <v>82.1</v>
      </c>
      <c r="E543" s="1">
        <v>7.1</v>
      </c>
      <c r="F543" t="s">
        <v>23</v>
      </c>
      <c r="G543" s="2" t="s">
        <v>14</v>
      </c>
      <c r="H543" s="2" t="s">
        <v>14</v>
      </c>
      <c r="I543" t="s">
        <v>15</v>
      </c>
      <c r="J543">
        <v>58.8</v>
      </c>
      <c r="K543" s="1">
        <v>87.3</v>
      </c>
      <c r="L543" t="s">
        <v>20</v>
      </c>
    </row>
    <row r="544" spans="1:12" x14ac:dyDescent="0.35">
      <c r="A544">
        <v>543</v>
      </c>
      <c r="B544" t="s">
        <v>12</v>
      </c>
      <c r="C544" s="1">
        <v>5.8</v>
      </c>
      <c r="D544">
        <v>96</v>
      </c>
      <c r="E544" s="1">
        <v>8.6999999999999993</v>
      </c>
      <c r="F544" t="s">
        <v>13</v>
      </c>
      <c r="G544" s="2" t="s">
        <v>14</v>
      </c>
      <c r="H544" s="2" t="s">
        <v>14</v>
      </c>
      <c r="I544" t="s">
        <v>14</v>
      </c>
      <c r="J544">
        <v>53.5</v>
      </c>
      <c r="K544" s="1">
        <v>88.8</v>
      </c>
      <c r="L544" t="s">
        <v>20</v>
      </c>
    </row>
    <row r="545" spans="1:12" x14ac:dyDescent="0.35">
      <c r="A545">
        <v>544</v>
      </c>
      <c r="B545" t="s">
        <v>17</v>
      </c>
      <c r="C545" s="1">
        <v>3.4</v>
      </c>
      <c r="D545">
        <v>100</v>
      </c>
      <c r="E545" s="1">
        <v>8</v>
      </c>
      <c r="F545" t="s">
        <v>18</v>
      </c>
      <c r="G545" s="2" t="s">
        <v>14</v>
      </c>
      <c r="H545" s="2" t="s">
        <v>15</v>
      </c>
      <c r="I545" t="s">
        <v>15</v>
      </c>
      <c r="J545">
        <v>84.2</v>
      </c>
      <c r="K545" s="1">
        <v>91.8</v>
      </c>
      <c r="L545" t="s">
        <v>16</v>
      </c>
    </row>
    <row r="546" spans="1:12" x14ac:dyDescent="0.35">
      <c r="A546">
        <v>545</v>
      </c>
      <c r="B546" t="s">
        <v>12</v>
      </c>
      <c r="C546" s="1">
        <v>2.7</v>
      </c>
      <c r="D546">
        <v>72.7</v>
      </c>
      <c r="E546" s="1">
        <v>7.8</v>
      </c>
      <c r="F546" t="s">
        <v>13</v>
      </c>
      <c r="G546" s="2" t="s">
        <v>14</v>
      </c>
      <c r="H546" s="2" t="s">
        <v>15</v>
      </c>
      <c r="I546" t="s">
        <v>14</v>
      </c>
      <c r="J546">
        <v>78.8</v>
      </c>
      <c r="K546" s="1">
        <v>66</v>
      </c>
      <c r="L546" t="s">
        <v>21</v>
      </c>
    </row>
    <row r="547" spans="1:12" x14ac:dyDescent="0.35">
      <c r="A547">
        <v>546</v>
      </c>
      <c r="B547" t="s">
        <v>17</v>
      </c>
      <c r="C547" s="1">
        <v>6.3</v>
      </c>
      <c r="D547">
        <v>90</v>
      </c>
      <c r="E547" s="1">
        <v>6.3</v>
      </c>
      <c r="F547" t="s">
        <v>18</v>
      </c>
      <c r="G547" s="2" t="s">
        <v>14</v>
      </c>
      <c r="H547" s="2" t="s">
        <v>14</v>
      </c>
      <c r="I547" t="s">
        <v>15</v>
      </c>
      <c r="J547">
        <v>85.1</v>
      </c>
      <c r="K547" s="1">
        <v>100</v>
      </c>
      <c r="L547" t="s">
        <v>16</v>
      </c>
    </row>
    <row r="548" spans="1:12" x14ac:dyDescent="0.35">
      <c r="A548">
        <v>547</v>
      </c>
      <c r="B548" t="s">
        <v>12</v>
      </c>
      <c r="C548" s="1">
        <v>1.3</v>
      </c>
      <c r="D548">
        <v>80.3</v>
      </c>
      <c r="E548" s="1">
        <v>5.7</v>
      </c>
      <c r="F548" t="s">
        <v>13</v>
      </c>
      <c r="G548" s="2" t="s">
        <v>15</v>
      </c>
      <c r="H548" s="2" t="s">
        <v>14</v>
      </c>
      <c r="I548" t="s">
        <v>15</v>
      </c>
      <c r="J548">
        <v>79.599999999999994</v>
      </c>
      <c r="K548" s="1">
        <v>71.099999999999994</v>
      </c>
      <c r="L548" t="s">
        <v>22</v>
      </c>
    </row>
    <row r="549" spans="1:12" x14ac:dyDescent="0.35">
      <c r="A549">
        <v>548</v>
      </c>
      <c r="B549" t="s">
        <v>17</v>
      </c>
      <c r="C549" s="1">
        <v>0.5</v>
      </c>
      <c r="D549">
        <v>83.9</v>
      </c>
      <c r="E549" s="1">
        <v>7.9</v>
      </c>
      <c r="F549" t="s">
        <v>13</v>
      </c>
      <c r="G549" s="2" t="s">
        <v>14</v>
      </c>
      <c r="H549" s="2" t="s">
        <v>15</v>
      </c>
      <c r="I549" t="s">
        <v>15</v>
      </c>
      <c r="J549">
        <v>94.7</v>
      </c>
      <c r="K549" s="1">
        <v>88.8</v>
      </c>
      <c r="L549" t="s">
        <v>20</v>
      </c>
    </row>
    <row r="550" spans="1:12" x14ac:dyDescent="0.35">
      <c r="A550">
        <v>549</v>
      </c>
      <c r="B550" t="s">
        <v>17</v>
      </c>
      <c r="C550" s="1">
        <v>4.2</v>
      </c>
      <c r="D550">
        <v>100</v>
      </c>
      <c r="E550" s="1">
        <v>7.9</v>
      </c>
      <c r="F550" t="s">
        <v>18</v>
      </c>
      <c r="G550" s="2" t="s">
        <v>14</v>
      </c>
      <c r="H550" s="2" t="s">
        <v>14</v>
      </c>
      <c r="I550" t="s">
        <v>15</v>
      </c>
      <c r="J550">
        <v>76.7</v>
      </c>
      <c r="K550" s="1">
        <v>100</v>
      </c>
      <c r="L550" t="s">
        <v>16</v>
      </c>
    </row>
    <row r="551" spans="1:12" x14ac:dyDescent="0.35">
      <c r="A551">
        <v>550</v>
      </c>
      <c r="B551" t="s">
        <v>12</v>
      </c>
      <c r="C551" s="1">
        <v>2.7</v>
      </c>
      <c r="D551">
        <v>70</v>
      </c>
      <c r="E551" s="1">
        <v>8.6</v>
      </c>
      <c r="F551" t="s">
        <v>18</v>
      </c>
      <c r="G551" s="2" t="s">
        <v>14</v>
      </c>
      <c r="H551" s="2" t="s">
        <v>15</v>
      </c>
      <c r="I551" t="s">
        <v>15</v>
      </c>
      <c r="J551">
        <v>68.099999999999994</v>
      </c>
      <c r="K551" s="1">
        <v>85.2</v>
      </c>
      <c r="L551" t="s">
        <v>20</v>
      </c>
    </row>
    <row r="552" spans="1:12" x14ac:dyDescent="0.35">
      <c r="A552">
        <v>551</v>
      </c>
      <c r="B552" t="s">
        <v>12</v>
      </c>
      <c r="C552" s="1">
        <v>2</v>
      </c>
      <c r="D552">
        <v>87.5</v>
      </c>
      <c r="E552" s="1">
        <v>6.1</v>
      </c>
      <c r="F552" t="s">
        <v>19</v>
      </c>
      <c r="G552" s="2" t="s">
        <v>14</v>
      </c>
      <c r="H552" s="2" t="s">
        <v>15</v>
      </c>
      <c r="I552" t="s">
        <v>15</v>
      </c>
      <c r="J552">
        <v>74.099999999999994</v>
      </c>
      <c r="K552" s="1">
        <v>75.400000000000006</v>
      </c>
      <c r="L552" t="s">
        <v>22</v>
      </c>
    </row>
    <row r="553" spans="1:12" x14ac:dyDescent="0.35">
      <c r="A553">
        <v>552</v>
      </c>
      <c r="B553" t="s">
        <v>17</v>
      </c>
      <c r="C553" s="1">
        <v>4.5999999999999996</v>
      </c>
      <c r="D553">
        <v>89.7</v>
      </c>
      <c r="E553" s="1">
        <v>6.5</v>
      </c>
      <c r="F553" t="s">
        <v>19</v>
      </c>
      <c r="G553" s="2" t="s">
        <v>14</v>
      </c>
      <c r="H553" s="2" t="s">
        <v>14</v>
      </c>
      <c r="I553" t="s">
        <v>15</v>
      </c>
      <c r="J553">
        <v>84.9</v>
      </c>
      <c r="K553" s="1">
        <v>100</v>
      </c>
      <c r="L553" t="s">
        <v>16</v>
      </c>
    </row>
    <row r="554" spans="1:12" x14ac:dyDescent="0.35">
      <c r="A554">
        <v>553</v>
      </c>
      <c r="B554" t="s">
        <v>12</v>
      </c>
      <c r="C554" s="1">
        <v>3.9</v>
      </c>
      <c r="D554">
        <v>95.9</v>
      </c>
      <c r="E554" s="1">
        <v>4.8</v>
      </c>
      <c r="F554" t="s">
        <v>13</v>
      </c>
      <c r="G554" s="2" t="s">
        <v>14</v>
      </c>
      <c r="H554" s="2" t="s">
        <v>14</v>
      </c>
      <c r="I554" t="s">
        <v>14</v>
      </c>
      <c r="J554">
        <v>60.6</v>
      </c>
      <c r="K554" s="1">
        <v>78.900000000000006</v>
      </c>
      <c r="L554" t="s">
        <v>22</v>
      </c>
    </row>
    <row r="555" spans="1:12" x14ac:dyDescent="0.35">
      <c r="A555">
        <v>554</v>
      </c>
      <c r="B555" t="s">
        <v>17</v>
      </c>
      <c r="C555" s="1">
        <v>2.7</v>
      </c>
      <c r="D555">
        <v>86</v>
      </c>
      <c r="E555" s="1">
        <v>6.3</v>
      </c>
      <c r="F555" t="s">
        <v>18</v>
      </c>
      <c r="G555" s="2" t="s">
        <v>14</v>
      </c>
      <c r="H555" s="2" t="s">
        <v>14</v>
      </c>
      <c r="I555" t="s">
        <v>15</v>
      </c>
      <c r="J555">
        <v>62.2</v>
      </c>
      <c r="K555" s="1">
        <v>83.4</v>
      </c>
      <c r="L555" t="s">
        <v>20</v>
      </c>
    </row>
    <row r="556" spans="1:12" x14ac:dyDescent="0.35">
      <c r="A556">
        <v>555</v>
      </c>
      <c r="B556" t="s">
        <v>12</v>
      </c>
      <c r="C556" s="1">
        <v>1.6</v>
      </c>
      <c r="D556">
        <v>88.1</v>
      </c>
      <c r="E556" s="1">
        <v>8</v>
      </c>
      <c r="F556" t="s">
        <v>18</v>
      </c>
      <c r="G556" s="2" t="s">
        <v>15</v>
      </c>
      <c r="H556" s="2" t="s">
        <v>15</v>
      </c>
      <c r="I556" t="s">
        <v>15</v>
      </c>
      <c r="J556">
        <v>66.3</v>
      </c>
      <c r="K556" s="1">
        <v>63.4</v>
      </c>
      <c r="L556" t="s">
        <v>21</v>
      </c>
    </row>
    <row r="557" spans="1:12" x14ac:dyDescent="0.35">
      <c r="A557">
        <v>556</v>
      </c>
      <c r="B557" t="s">
        <v>17</v>
      </c>
      <c r="C557" s="1">
        <v>4.8</v>
      </c>
      <c r="D557">
        <v>81.099999999999994</v>
      </c>
      <c r="E557" s="1">
        <v>6.2</v>
      </c>
      <c r="F557" t="s">
        <v>13</v>
      </c>
      <c r="G557" s="2" t="s">
        <v>14</v>
      </c>
      <c r="H557" s="2" t="s">
        <v>14</v>
      </c>
      <c r="I557" t="s">
        <v>15</v>
      </c>
      <c r="J557">
        <v>44.7</v>
      </c>
      <c r="K557" s="1">
        <v>80.7</v>
      </c>
      <c r="L557" t="s">
        <v>20</v>
      </c>
    </row>
    <row r="558" spans="1:12" x14ac:dyDescent="0.35">
      <c r="A558">
        <v>557</v>
      </c>
      <c r="B558" t="s">
        <v>17</v>
      </c>
      <c r="C558" s="1">
        <v>4.5</v>
      </c>
      <c r="D558">
        <v>87.7</v>
      </c>
      <c r="E558" s="1">
        <v>7.6</v>
      </c>
      <c r="F558" t="s">
        <v>19</v>
      </c>
      <c r="G558" s="2" t="s">
        <v>14</v>
      </c>
      <c r="H558" s="2" t="s">
        <v>14</v>
      </c>
      <c r="I558" t="s">
        <v>15</v>
      </c>
      <c r="J558">
        <v>71.7</v>
      </c>
      <c r="K558" s="1">
        <v>80.8</v>
      </c>
      <c r="L558" t="s">
        <v>20</v>
      </c>
    </row>
    <row r="559" spans="1:12" x14ac:dyDescent="0.35">
      <c r="A559">
        <v>558</v>
      </c>
      <c r="B559" t="s">
        <v>17</v>
      </c>
      <c r="C559" s="1">
        <v>3.4</v>
      </c>
      <c r="D559">
        <v>81.599999999999994</v>
      </c>
      <c r="E559" s="1">
        <v>6.6</v>
      </c>
      <c r="F559" t="s">
        <v>18</v>
      </c>
      <c r="G559" s="2" t="s">
        <v>14</v>
      </c>
      <c r="H559" s="2" t="s">
        <v>14</v>
      </c>
      <c r="I559" t="s">
        <v>15</v>
      </c>
      <c r="J559">
        <v>47.4</v>
      </c>
      <c r="K559" s="1">
        <v>73.099999999999994</v>
      </c>
      <c r="L559" t="s">
        <v>22</v>
      </c>
    </row>
    <row r="560" spans="1:12" x14ac:dyDescent="0.35">
      <c r="A560">
        <v>559</v>
      </c>
      <c r="B560" t="s">
        <v>17</v>
      </c>
      <c r="C560" s="1">
        <v>6.3</v>
      </c>
      <c r="D560">
        <v>91.2</v>
      </c>
      <c r="E560" s="1">
        <v>7.2</v>
      </c>
      <c r="F560" t="s">
        <v>23</v>
      </c>
      <c r="G560" s="2" t="s">
        <v>14</v>
      </c>
      <c r="H560" s="2" t="s">
        <v>15</v>
      </c>
      <c r="I560" t="s">
        <v>14</v>
      </c>
      <c r="J560">
        <v>70.599999999999994</v>
      </c>
      <c r="K560" s="1">
        <v>99.8</v>
      </c>
      <c r="L560" t="s">
        <v>16</v>
      </c>
    </row>
    <row r="561" spans="1:12" x14ac:dyDescent="0.35">
      <c r="A561">
        <v>560</v>
      </c>
      <c r="B561" t="s">
        <v>17</v>
      </c>
      <c r="C561" s="1">
        <v>1.9</v>
      </c>
      <c r="D561">
        <v>81.3</v>
      </c>
      <c r="E561" s="1">
        <v>5.4</v>
      </c>
      <c r="F561" t="s">
        <v>18</v>
      </c>
      <c r="G561" s="2" t="s">
        <v>14</v>
      </c>
      <c r="H561" s="2" t="s">
        <v>14</v>
      </c>
      <c r="I561" t="s">
        <v>14</v>
      </c>
      <c r="J561">
        <v>80.400000000000006</v>
      </c>
      <c r="K561" s="1">
        <v>73.5</v>
      </c>
      <c r="L561" t="s">
        <v>22</v>
      </c>
    </row>
    <row r="562" spans="1:12" x14ac:dyDescent="0.35">
      <c r="A562">
        <v>561</v>
      </c>
      <c r="B562" t="s">
        <v>17</v>
      </c>
      <c r="C562" s="1">
        <v>1.2</v>
      </c>
      <c r="D562">
        <v>88.8</v>
      </c>
      <c r="E562" s="1">
        <v>6.9</v>
      </c>
      <c r="F562" t="s">
        <v>19</v>
      </c>
      <c r="G562" s="2" t="s">
        <v>14</v>
      </c>
      <c r="H562" s="2" t="s">
        <v>14</v>
      </c>
      <c r="I562" t="s">
        <v>15</v>
      </c>
      <c r="J562">
        <v>64.3</v>
      </c>
      <c r="K562" s="1">
        <v>68.2</v>
      </c>
      <c r="L562" t="s">
        <v>21</v>
      </c>
    </row>
    <row r="563" spans="1:12" x14ac:dyDescent="0.35">
      <c r="A563">
        <v>562</v>
      </c>
      <c r="B563" t="s">
        <v>12</v>
      </c>
      <c r="C563" s="1">
        <v>2.5</v>
      </c>
      <c r="D563">
        <v>84.7</v>
      </c>
      <c r="E563" s="1">
        <v>3.2</v>
      </c>
      <c r="F563" t="s">
        <v>13</v>
      </c>
      <c r="G563" s="2" t="s">
        <v>15</v>
      </c>
      <c r="H563" s="2" t="s">
        <v>15</v>
      </c>
      <c r="I563" t="s">
        <v>15</v>
      </c>
      <c r="J563">
        <v>90.1</v>
      </c>
      <c r="K563" s="1">
        <v>83.9</v>
      </c>
      <c r="L563" t="s">
        <v>20</v>
      </c>
    </row>
    <row r="564" spans="1:12" x14ac:dyDescent="0.35">
      <c r="A564">
        <v>563</v>
      </c>
      <c r="B564" t="s">
        <v>12</v>
      </c>
      <c r="C564" s="1">
        <v>3.4</v>
      </c>
      <c r="D564">
        <v>96.3</v>
      </c>
      <c r="E564" s="1">
        <v>6.6</v>
      </c>
      <c r="F564" t="s">
        <v>23</v>
      </c>
      <c r="G564" s="2" t="s">
        <v>15</v>
      </c>
      <c r="H564" s="2" t="s">
        <v>15</v>
      </c>
      <c r="I564" t="s">
        <v>15</v>
      </c>
      <c r="J564">
        <v>52.5</v>
      </c>
      <c r="K564" s="1">
        <v>75.3</v>
      </c>
      <c r="L564" t="s">
        <v>22</v>
      </c>
    </row>
    <row r="565" spans="1:12" x14ac:dyDescent="0.35">
      <c r="A565">
        <v>564</v>
      </c>
      <c r="B565" t="s">
        <v>12</v>
      </c>
      <c r="C565" s="1">
        <v>3.9</v>
      </c>
      <c r="D565">
        <v>84.5</v>
      </c>
      <c r="E565" s="1">
        <v>4.8</v>
      </c>
      <c r="F565" t="s">
        <v>18</v>
      </c>
      <c r="G565" s="2" t="s">
        <v>15</v>
      </c>
      <c r="H565" s="2" t="s">
        <v>15</v>
      </c>
      <c r="I565" t="s">
        <v>14</v>
      </c>
      <c r="J565">
        <v>84.3</v>
      </c>
      <c r="K565" s="1">
        <v>78.7</v>
      </c>
      <c r="L565" t="s">
        <v>22</v>
      </c>
    </row>
    <row r="566" spans="1:12" x14ac:dyDescent="0.35">
      <c r="A566">
        <v>565</v>
      </c>
      <c r="B566" t="s">
        <v>17</v>
      </c>
      <c r="C566" s="1">
        <v>3.1</v>
      </c>
      <c r="D566">
        <v>67.3</v>
      </c>
      <c r="E566" s="1">
        <v>8.1999999999999993</v>
      </c>
      <c r="F566" t="s">
        <v>13</v>
      </c>
      <c r="G566" s="2" t="s">
        <v>14</v>
      </c>
      <c r="H566" s="2" t="s">
        <v>14</v>
      </c>
      <c r="I566" t="s">
        <v>15</v>
      </c>
      <c r="J566">
        <v>78.099999999999994</v>
      </c>
      <c r="K566" s="1">
        <v>82.8</v>
      </c>
      <c r="L566" t="s">
        <v>20</v>
      </c>
    </row>
    <row r="567" spans="1:12" x14ac:dyDescent="0.35">
      <c r="A567">
        <v>566</v>
      </c>
      <c r="B567" t="s">
        <v>17</v>
      </c>
      <c r="C567" s="1">
        <v>4</v>
      </c>
      <c r="D567">
        <v>97.6</v>
      </c>
      <c r="E567" s="1">
        <v>7.7</v>
      </c>
      <c r="F567" t="s">
        <v>18</v>
      </c>
      <c r="G567" s="2" t="s">
        <v>14</v>
      </c>
      <c r="H567" s="2" t="s">
        <v>14</v>
      </c>
      <c r="I567" t="s">
        <v>15</v>
      </c>
      <c r="J567">
        <v>49.4</v>
      </c>
      <c r="K567" s="1">
        <v>100</v>
      </c>
      <c r="L567" t="s">
        <v>16</v>
      </c>
    </row>
    <row r="568" spans="1:12" x14ac:dyDescent="0.35">
      <c r="A568">
        <v>567</v>
      </c>
      <c r="B568" t="s">
        <v>17</v>
      </c>
      <c r="C568" s="1">
        <v>1.6</v>
      </c>
      <c r="D568">
        <v>75.900000000000006</v>
      </c>
      <c r="E568" s="1">
        <v>7.4</v>
      </c>
      <c r="F568" t="s">
        <v>18</v>
      </c>
      <c r="G568" s="2" t="s">
        <v>14</v>
      </c>
      <c r="H568" s="2" t="s">
        <v>15</v>
      </c>
      <c r="I568" t="s">
        <v>15</v>
      </c>
      <c r="J568">
        <v>100</v>
      </c>
      <c r="K568" s="1">
        <v>92.6</v>
      </c>
      <c r="L568" t="s">
        <v>16</v>
      </c>
    </row>
    <row r="569" spans="1:12" x14ac:dyDescent="0.35">
      <c r="A569">
        <v>568</v>
      </c>
      <c r="B569" t="s">
        <v>17</v>
      </c>
      <c r="C569" s="1">
        <v>5.7</v>
      </c>
      <c r="D569">
        <v>78.5</v>
      </c>
      <c r="E569" s="1">
        <v>8.6</v>
      </c>
      <c r="F569" t="s">
        <v>19</v>
      </c>
      <c r="G569" s="2" t="s">
        <v>14</v>
      </c>
      <c r="H569" s="2" t="s">
        <v>14</v>
      </c>
      <c r="I569" t="s">
        <v>14</v>
      </c>
      <c r="J569">
        <v>69.2</v>
      </c>
      <c r="K569" s="1">
        <v>99.1</v>
      </c>
      <c r="L569" t="s">
        <v>16</v>
      </c>
    </row>
    <row r="570" spans="1:12" x14ac:dyDescent="0.35">
      <c r="A570">
        <v>569</v>
      </c>
      <c r="B570" t="s">
        <v>12</v>
      </c>
      <c r="C570" s="1">
        <v>3.4</v>
      </c>
      <c r="D570">
        <v>79</v>
      </c>
      <c r="E570" s="1">
        <v>5.7</v>
      </c>
      <c r="F570" t="s">
        <v>19</v>
      </c>
      <c r="G570" s="2" t="s">
        <v>14</v>
      </c>
      <c r="H570" s="2" t="s">
        <v>15</v>
      </c>
      <c r="I570" t="s">
        <v>14</v>
      </c>
      <c r="J570">
        <v>59.5</v>
      </c>
      <c r="K570" s="1">
        <v>76.2</v>
      </c>
      <c r="L570" t="s">
        <v>22</v>
      </c>
    </row>
    <row r="571" spans="1:12" x14ac:dyDescent="0.35">
      <c r="A571">
        <v>570</v>
      </c>
      <c r="B571" t="s">
        <v>12</v>
      </c>
      <c r="C571" s="1">
        <v>5.2</v>
      </c>
      <c r="D571">
        <v>98.7</v>
      </c>
      <c r="E571" s="1">
        <v>8.9</v>
      </c>
      <c r="F571" t="s">
        <v>24</v>
      </c>
      <c r="G571" s="2" t="s">
        <v>14</v>
      </c>
      <c r="H571" s="2" t="s">
        <v>15</v>
      </c>
      <c r="I571" t="s">
        <v>14</v>
      </c>
      <c r="J571">
        <v>53.1</v>
      </c>
      <c r="K571" s="1">
        <v>90.9</v>
      </c>
      <c r="L571" t="s">
        <v>16</v>
      </c>
    </row>
    <row r="572" spans="1:12" x14ac:dyDescent="0.35">
      <c r="A572">
        <v>571</v>
      </c>
      <c r="B572" t="s">
        <v>17</v>
      </c>
      <c r="C572" s="1">
        <v>4</v>
      </c>
      <c r="D572">
        <v>63.6</v>
      </c>
      <c r="E572" s="1">
        <v>7.9</v>
      </c>
      <c r="F572" t="s">
        <v>13</v>
      </c>
      <c r="G572" s="2" t="s">
        <v>14</v>
      </c>
      <c r="H572" s="2" t="s">
        <v>14</v>
      </c>
      <c r="I572" t="s">
        <v>14</v>
      </c>
      <c r="J572">
        <v>67.400000000000006</v>
      </c>
      <c r="K572" s="1">
        <v>63.3</v>
      </c>
      <c r="L572" t="s">
        <v>21</v>
      </c>
    </row>
    <row r="573" spans="1:12" x14ac:dyDescent="0.35">
      <c r="A573">
        <v>572</v>
      </c>
      <c r="B573" t="s">
        <v>12</v>
      </c>
      <c r="C573" s="1">
        <v>4.2</v>
      </c>
      <c r="D573">
        <v>100</v>
      </c>
      <c r="E573" s="1">
        <v>6.5</v>
      </c>
      <c r="F573" t="s">
        <v>23</v>
      </c>
      <c r="G573" s="2" t="s">
        <v>14</v>
      </c>
      <c r="H573" s="2" t="s">
        <v>15</v>
      </c>
      <c r="I573" t="s">
        <v>14</v>
      </c>
      <c r="J573">
        <v>68.5</v>
      </c>
      <c r="K573" s="1">
        <v>85</v>
      </c>
      <c r="L573" t="s">
        <v>20</v>
      </c>
    </row>
    <row r="574" spans="1:12" x14ac:dyDescent="0.35">
      <c r="A574">
        <v>573</v>
      </c>
      <c r="B574" t="s">
        <v>12</v>
      </c>
      <c r="C574" s="1">
        <v>4.4000000000000004</v>
      </c>
      <c r="D574">
        <v>95.6</v>
      </c>
      <c r="E574" s="1">
        <v>8.1999999999999993</v>
      </c>
      <c r="F574" t="s">
        <v>18</v>
      </c>
      <c r="G574" s="2" t="s">
        <v>14</v>
      </c>
      <c r="H574" s="2" t="s">
        <v>15</v>
      </c>
      <c r="I574" t="s">
        <v>14</v>
      </c>
      <c r="J574">
        <v>71.2</v>
      </c>
      <c r="K574" s="1">
        <v>88.7</v>
      </c>
      <c r="L574" t="s">
        <v>20</v>
      </c>
    </row>
    <row r="575" spans="1:12" x14ac:dyDescent="0.35">
      <c r="A575">
        <v>574</v>
      </c>
      <c r="B575" t="s">
        <v>17</v>
      </c>
      <c r="C575" s="1">
        <v>4.2</v>
      </c>
      <c r="D575">
        <v>87.2</v>
      </c>
      <c r="E575" s="1">
        <v>5.5</v>
      </c>
      <c r="F575" t="s">
        <v>18</v>
      </c>
      <c r="G575" s="2" t="s">
        <v>14</v>
      </c>
      <c r="H575" s="2" t="s">
        <v>14</v>
      </c>
      <c r="I575" t="s">
        <v>15</v>
      </c>
      <c r="J575">
        <v>66.400000000000006</v>
      </c>
      <c r="K575" s="1">
        <v>75.3</v>
      </c>
      <c r="L575" t="s">
        <v>22</v>
      </c>
    </row>
    <row r="576" spans="1:12" x14ac:dyDescent="0.35">
      <c r="A576">
        <v>575</v>
      </c>
      <c r="B576" t="s">
        <v>12</v>
      </c>
      <c r="C576" s="1">
        <v>4.5</v>
      </c>
      <c r="D576">
        <v>84.5</v>
      </c>
      <c r="E576" s="1">
        <v>5.8</v>
      </c>
      <c r="F576" t="s">
        <v>18</v>
      </c>
      <c r="G576" s="2" t="s">
        <v>14</v>
      </c>
      <c r="H576" s="2" t="s">
        <v>14</v>
      </c>
      <c r="I576" t="s">
        <v>15</v>
      </c>
      <c r="J576">
        <v>77.599999999999994</v>
      </c>
      <c r="K576" s="1">
        <v>84.9</v>
      </c>
      <c r="L576" t="s">
        <v>20</v>
      </c>
    </row>
    <row r="577" spans="1:12" x14ac:dyDescent="0.35">
      <c r="A577">
        <v>576</v>
      </c>
      <c r="B577" t="s">
        <v>17</v>
      </c>
      <c r="C577" s="1">
        <v>5.5</v>
      </c>
      <c r="D577">
        <v>87.9</v>
      </c>
      <c r="E577" s="1">
        <v>6.1</v>
      </c>
      <c r="F577" t="s">
        <v>13</v>
      </c>
      <c r="G577" s="2" t="s">
        <v>14</v>
      </c>
      <c r="H577" s="2" t="s">
        <v>14</v>
      </c>
      <c r="I577" t="s">
        <v>15</v>
      </c>
      <c r="J577">
        <v>65.3</v>
      </c>
      <c r="K577" s="1">
        <v>81.099999999999994</v>
      </c>
      <c r="L577" t="s">
        <v>20</v>
      </c>
    </row>
    <row r="578" spans="1:12" x14ac:dyDescent="0.35">
      <c r="A578">
        <v>577</v>
      </c>
      <c r="B578" t="s">
        <v>12</v>
      </c>
      <c r="C578" s="1">
        <v>3.8</v>
      </c>
      <c r="D578">
        <v>90.2</v>
      </c>
      <c r="E578" s="1">
        <v>6.2</v>
      </c>
      <c r="F578" t="s">
        <v>13</v>
      </c>
      <c r="G578" s="2" t="s">
        <v>14</v>
      </c>
      <c r="H578" s="2" t="s">
        <v>14</v>
      </c>
      <c r="I578" t="s">
        <v>14</v>
      </c>
      <c r="J578">
        <v>46.8</v>
      </c>
      <c r="K578" s="1">
        <v>75.599999999999994</v>
      </c>
      <c r="L578" t="s">
        <v>22</v>
      </c>
    </row>
    <row r="579" spans="1:12" x14ac:dyDescent="0.35">
      <c r="A579">
        <v>578</v>
      </c>
      <c r="B579" t="s">
        <v>17</v>
      </c>
      <c r="C579" s="1">
        <v>4.5999999999999996</v>
      </c>
      <c r="D579">
        <v>91.5</v>
      </c>
      <c r="E579" s="1">
        <v>5.5</v>
      </c>
      <c r="F579" t="s">
        <v>18</v>
      </c>
      <c r="G579" s="2" t="s">
        <v>14</v>
      </c>
      <c r="H579" s="2" t="s">
        <v>14</v>
      </c>
      <c r="I579" t="s">
        <v>15</v>
      </c>
      <c r="J579">
        <v>68.2</v>
      </c>
      <c r="K579" s="1">
        <v>95.5</v>
      </c>
      <c r="L579" t="s">
        <v>16</v>
      </c>
    </row>
    <row r="580" spans="1:12" x14ac:dyDescent="0.35">
      <c r="A580">
        <v>579</v>
      </c>
      <c r="B580" t="s">
        <v>17</v>
      </c>
      <c r="C580" s="1">
        <v>3.4</v>
      </c>
      <c r="D580">
        <v>90.6</v>
      </c>
      <c r="E580" s="1">
        <v>8.3000000000000007</v>
      </c>
      <c r="F580" t="s">
        <v>13</v>
      </c>
      <c r="G580" s="2" t="s">
        <v>14</v>
      </c>
      <c r="H580" s="2" t="s">
        <v>15</v>
      </c>
      <c r="I580" t="s">
        <v>15</v>
      </c>
      <c r="J580">
        <v>41.6</v>
      </c>
      <c r="K580" s="1">
        <v>83.3</v>
      </c>
      <c r="L580" t="s">
        <v>20</v>
      </c>
    </row>
    <row r="581" spans="1:12" x14ac:dyDescent="0.35">
      <c r="A581">
        <v>580</v>
      </c>
      <c r="B581" t="s">
        <v>17</v>
      </c>
      <c r="C581" s="1">
        <v>5.7</v>
      </c>
      <c r="D581">
        <v>85.9</v>
      </c>
      <c r="E581" s="1">
        <v>6.5</v>
      </c>
      <c r="F581" t="s">
        <v>23</v>
      </c>
      <c r="G581" s="2" t="s">
        <v>14</v>
      </c>
      <c r="H581" s="2" t="s">
        <v>15</v>
      </c>
      <c r="I581" t="s">
        <v>14</v>
      </c>
      <c r="J581">
        <v>74.2</v>
      </c>
      <c r="K581" s="1">
        <v>95.7</v>
      </c>
      <c r="L581" t="s">
        <v>16</v>
      </c>
    </row>
    <row r="582" spans="1:12" x14ac:dyDescent="0.35">
      <c r="A582">
        <v>581</v>
      </c>
      <c r="B582" t="s">
        <v>17</v>
      </c>
      <c r="C582" s="1">
        <v>2.5</v>
      </c>
      <c r="D582">
        <v>83</v>
      </c>
      <c r="E582" s="1">
        <v>7.2</v>
      </c>
      <c r="F582" t="s">
        <v>13</v>
      </c>
      <c r="G582" s="2" t="s">
        <v>14</v>
      </c>
      <c r="H582" s="2" t="s">
        <v>14</v>
      </c>
      <c r="I582" t="s">
        <v>15</v>
      </c>
      <c r="J582">
        <v>58.2</v>
      </c>
      <c r="K582" s="1">
        <v>70.400000000000006</v>
      </c>
      <c r="L582" t="s">
        <v>22</v>
      </c>
    </row>
    <row r="583" spans="1:12" x14ac:dyDescent="0.35">
      <c r="A583">
        <v>582</v>
      </c>
      <c r="B583" t="s">
        <v>12</v>
      </c>
      <c r="C583" s="1">
        <v>6.2</v>
      </c>
      <c r="D583">
        <v>83.5</v>
      </c>
      <c r="E583" s="1">
        <v>6.1</v>
      </c>
      <c r="F583" t="s">
        <v>18</v>
      </c>
      <c r="G583" s="2" t="s">
        <v>14</v>
      </c>
      <c r="H583" s="2" t="s">
        <v>14</v>
      </c>
      <c r="I583" t="s">
        <v>14</v>
      </c>
      <c r="J583">
        <v>72</v>
      </c>
      <c r="K583" s="1">
        <v>82.7</v>
      </c>
      <c r="L583" t="s">
        <v>20</v>
      </c>
    </row>
    <row r="584" spans="1:12" x14ac:dyDescent="0.35">
      <c r="A584">
        <v>583</v>
      </c>
      <c r="B584" t="s">
        <v>17</v>
      </c>
      <c r="C584" s="1">
        <v>3.4</v>
      </c>
      <c r="D584">
        <v>83.1</v>
      </c>
      <c r="E584" s="1">
        <v>4.5999999999999996</v>
      </c>
      <c r="F584" t="s">
        <v>18</v>
      </c>
      <c r="G584" s="2" t="s">
        <v>14</v>
      </c>
      <c r="H584" s="2" t="s">
        <v>15</v>
      </c>
      <c r="I584" t="s">
        <v>15</v>
      </c>
      <c r="J584">
        <v>85.8</v>
      </c>
      <c r="K584" s="1">
        <v>76.7</v>
      </c>
      <c r="L584" t="s">
        <v>22</v>
      </c>
    </row>
    <row r="585" spans="1:12" x14ac:dyDescent="0.35">
      <c r="A585">
        <v>584</v>
      </c>
      <c r="B585" t="s">
        <v>17</v>
      </c>
      <c r="C585" s="1">
        <v>1.4</v>
      </c>
      <c r="D585">
        <v>96.3</v>
      </c>
      <c r="E585" s="1">
        <v>7.1</v>
      </c>
      <c r="F585" t="s">
        <v>18</v>
      </c>
      <c r="G585" s="2" t="s">
        <v>14</v>
      </c>
      <c r="H585" s="2" t="s">
        <v>14</v>
      </c>
      <c r="I585" t="s">
        <v>15</v>
      </c>
      <c r="J585">
        <v>58.6</v>
      </c>
      <c r="K585" s="1">
        <v>68.400000000000006</v>
      </c>
      <c r="L585" t="s">
        <v>21</v>
      </c>
    </row>
    <row r="586" spans="1:12" x14ac:dyDescent="0.35">
      <c r="A586">
        <v>585</v>
      </c>
      <c r="B586" t="s">
        <v>17</v>
      </c>
      <c r="C586" s="1">
        <v>3.7</v>
      </c>
      <c r="D586">
        <v>90.9</v>
      </c>
      <c r="E586" s="1">
        <v>4.5</v>
      </c>
      <c r="F586" t="s">
        <v>18</v>
      </c>
      <c r="G586" s="2" t="s">
        <v>14</v>
      </c>
      <c r="H586" s="2" t="s">
        <v>15</v>
      </c>
      <c r="I586" t="s">
        <v>15</v>
      </c>
      <c r="J586">
        <v>82.7</v>
      </c>
      <c r="K586" s="1">
        <v>84.6</v>
      </c>
      <c r="L586" t="s">
        <v>20</v>
      </c>
    </row>
    <row r="587" spans="1:12" x14ac:dyDescent="0.35">
      <c r="A587">
        <v>586</v>
      </c>
      <c r="B587" t="s">
        <v>12</v>
      </c>
      <c r="C587" s="1">
        <v>2.5</v>
      </c>
      <c r="D587">
        <v>55.6</v>
      </c>
      <c r="E587" s="1">
        <v>6.7</v>
      </c>
      <c r="F587" t="s">
        <v>13</v>
      </c>
      <c r="G587" s="2" t="s">
        <v>14</v>
      </c>
      <c r="H587" s="2" t="s">
        <v>14</v>
      </c>
      <c r="I587" t="s">
        <v>15</v>
      </c>
      <c r="J587">
        <v>64.8</v>
      </c>
      <c r="K587" s="1">
        <v>67.7</v>
      </c>
      <c r="L587" t="s">
        <v>21</v>
      </c>
    </row>
    <row r="588" spans="1:12" x14ac:dyDescent="0.35">
      <c r="A588">
        <v>587</v>
      </c>
      <c r="B588" t="s">
        <v>17</v>
      </c>
      <c r="C588" s="1">
        <v>4.8</v>
      </c>
      <c r="D588">
        <v>91.6</v>
      </c>
      <c r="E588" s="1">
        <v>5.2</v>
      </c>
      <c r="F588" t="s">
        <v>13</v>
      </c>
      <c r="G588" s="2" t="s">
        <v>15</v>
      </c>
      <c r="H588" s="2" t="s">
        <v>14</v>
      </c>
      <c r="I588" t="s">
        <v>15</v>
      </c>
      <c r="J588">
        <v>91</v>
      </c>
      <c r="K588" s="1">
        <v>89.2</v>
      </c>
      <c r="L588" t="s">
        <v>20</v>
      </c>
    </row>
    <row r="589" spans="1:12" x14ac:dyDescent="0.35">
      <c r="A589">
        <v>588</v>
      </c>
      <c r="B589" t="s">
        <v>12</v>
      </c>
      <c r="C589" s="1">
        <v>2.5</v>
      </c>
      <c r="D589">
        <v>86.9</v>
      </c>
      <c r="E589" s="1">
        <v>9.1999999999999993</v>
      </c>
      <c r="F589" t="s">
        <v>23</v>
      </c>
      <c r="G589" s="2" t="s">
        <v>14</v>
      </c>
      <c r="H589" s="2" t="s">
        <v>14</v>
      </c>
      <c r="I589" t="s">
        <v>15</v>
      </c>
      <c r="J589">
        <v>65.599999999999994</v>
      </c>
      <c r="K589" s="1">
        <v>85</v>
      </c>
      <c r="L589" t="s">
        <v>20</v>
      </c>
    </row>
    <row r="590" spans="1:12" x14ac:dyDescent="0.35">
      <c r="A590">
        <v>589</v>
      </c>
      <c r="B590" t="s">
        <v>17</v>
      </c>
      <c r="C590" s="1">
        <v>2.8</v>
      </c>
      <c r="D590">
        <v>84.8</v>
      </c>
      <c r="E590" s="1">
        <v>7.9</v>
      </c>
      <c r="F590" t="s">
        <v>13</v>
      </c>
      <c r="G590" s="2" t="s">
        <v>14</v>
      </c>
      <c r="H590" s="2" t="s">
        <v>15</v>
      </c>
      <c r="I590" t="s">
        <v>15</v>
      </c>
      <c r="J590">
        <v>59.9</v>
      </c>
      <c r="K590" s="1">
        <v>77.3</v>
      </c>
      <c r="L590" t="s">
        <v>22</v>
      </c>
    </row>
    <row r="591" spans="1:12" x14ac:dyDescent="0.35">
      <c r="A591">
        <v>590</v>
      </c>
      <c r="B591" t="s">
        <v>12</v>
      </c>
      <c r="C591" s="1">
        <v>0.7</v>
      </c>
      <c r="D591">
        <v>81.099999999999994</v>
      </c>
      <c r="E591" s="1">
        <v>6.9</v>
      </c>
      <c r="F591" t="s">
        <v>23</v>
      </c>
      <c r="G591" s="2" t="s">
        <v>14</v>
      </c>
      <c r="H591" s="2" t="s">
        <v>14</v>
      </c>
      <c r="I591" t="s">
        <v>14</v>
      </c>
      <c r="J591">
        <v>78.2</v>
      </c>
      <c r="K591" s="1">
        <v>72.2</v>
      </c>
      <c r="L591" t="s">
        <v>22</v>
      </c>
    </row>
    <row r="592" spans="1:12" x14ac:dyDescent="0.35">
      <c r="A592">
        <v>591</v>
      </c>
      <c r="B592" t="s">
        <v>12</v>
      </c>
      <c r="C592" s="1">
        <v>2.8</v>
      </c>
      <c r="D592">
        <v>96.2</v>
      </c>
      <c r="E592" s="1">
        <v>8.3000000000000007</v>
      </c>
      <c r="F592" t="s">
        <v>18</v>
      </c>
      <c r="G592" s="2" t="s">
        <v>14</v>
      </c>
      <c r="H592" s="2" t="s">
        <v>15</v>
      </c>
      <c r="I592" t="s">
        <v>14</v>
      </c>
      <c r="J592">
        <v>64.8</v>
      </c>
      <c r="K592" s="1">
        <v>89</v>
      </c>
      <c r="L592" t="s">
        <v>20</v>
      </c>
    </row>
    <row r="593" spans="1:12" x14ac:dyDescent="0.35">
      <c r="A593">
        <v>592</v>
      </c>
      <c r="B593" t="s">
        <v>17</v>
      </c>
      <c r="C593" s="1">
        <v>0.5</v>
      </c>
      <c r="D593">
        <v>94.5</v>
      </c>
      <c r="E593" s="1">
        <v>5.8</v>
      </c>
      <c r="F593" t="s">
        <v>13</v>
      </c>
      <c r="G593" s="2" t="s">
        <v>14</v>
      </c>
      <c r="H593" s="2" t="s">
        <v>14</v>
      </c>
      <c r="I593" t="s">
        <v>15</v>
      </c>
      <c r="J593">
        <v>59.9</v>
      </c>
      <c r="K593" s="1">
        <v>63.2</v>
      </c>
      <c r="L593" t="s">
        <v>21</v>
      </c>
    </row>
    <row r="594" spans="1:12" x14ac:dyDescent="0.35">
      <c r="A594">
        <v>593</v>
      </c>
      <c r="B594" t="s">
        <v>12</v>
      </c>
      <c r="C594" s="1">
        <v>1.1000000000000001</v>
      </c>
      <c r="D594">
        <v>77.3</v>
      </c>
      <c r="E594" s="1">
        <v>7.5</v>
      </c>
      <c r="F594" t="s">
        <v>23</v>
      </c>
      <c r="G594" s="2" t="s">
        <v>14</v>
      </c>
      <c r="H594" s="2" t="s">
        <v>14</v>
      </c>
      <c r="I594" t="s">
        <v>15</v>
      </c>
      <c r="J594">
        <v>64.3</v>
      </c>
      <c r="K594" s="1">
        <v>73.2</v>
      </c>
      <c r="L594" t="s">
        <v>22</v>
      </c>
    </row>
    <row r="595" spans="1:12" x14ac:dyDescent="0.35">
      <c r="A595">
        <v>594</v>
      </c>
      <c r="B595" t="s">
        <v>17</v>
      </c>
      <c r="C595" s="1">
        <v>4.5999999999999996</v>
      </c>
      <c r="D595">
        <v>89.1</v>
      </c>
      <c r="E595" s="1">
        <v>7</v>
      </c>
      <c r="F595" t="s">
        <v>18</v>
      </c>
      <c r="G595" s="2" t="s">
        <v>15</v>
      </c>
      <c r="H595" s="2" t="s">
        <v>14</v>
      </c>
      <c r="I595" t="s">
        <v>15</v>
      </c>
      <c r="J595">
        <v>69.5</v>
      </c>
      <c r="K595" s="1">
        <v>87</v>
      </c>
      <c r="L595" t="s">
        <v>20</v>
      </c>
    </row>
    <row r="596" spans="1:12" x14ac:dyDescent="0.35">
      <c r="A596">
        <v>595</v>
      </c>
      <c r="B596" t="s">
        <v>17</v>
      </c>
      <c r="C596" s="1">
        <v>4.7</v>
      </c>
      <c r="D596">
        <v>75.3</v>
      </c>
      <c r="E596" s="1">
        <v>7.1</v>
      </c>
      <c r="F596" t="s">
        <v>18</v>
      </c>
      <c r="G596" s="2" t="s">
        <v>14</v>
      </c>
      <c r="H596" s="2" t="s">
        <v>15</v>
      </c>
      <c r="I596" t="s">
        <v>14</v>
      </c>
      <c r="J596">
        <v>86.1</v>
      </c>
      <c r="K596" s="1">
        <v>88.5</v>
      </c>
      <c r="L596" t="s">
        <v>20</v>
      </c>
    </row>
    <row r="597" spans="1:12" x14ac:dyDescent="0.35">
      <c r="A597">
        <v>596</v>
      </c>
      <c r="B597" t="s">
        <v>17</v>
      </c>
      <c r="C597" s="1">
        <v>4.0999999999999996</v>
      </c>
      <c r="D597">
        <v>71.2</v>
      </c>
      <c r="E597" s="1">
        <v>8.3000000000000007</v>
      </c>
      <c r="F597" t="s">
        <v>24</v>
      </c>
      <c r="G597" s="2" t="s">
        <v>14</v>
      </c>
      <c r="H597" s="2" t="s">
        <v>15</v>
      </c>
      <c r="I597" t="s">
        <v>15</v>
      </c>
      <c r="J597">
        <v>46.8</v>
      </c>
      <c r="K597" s="1">
        <v>80.400000000000006</v>
      </c>
      <c r="L597" t="s">
        <v>20</v>
      </c>
    </row>
    <row r="598" spans="1:12" x14ac:dyDescent="0.35">
      <c r="A598">
        <v>597</v>
      </c>
      <c r="B598" t="s">
        <v>12</v>
      </c>
      <c r="C598" s="1">
        <v>2</v>
      </c>
      <c r="D598">
        <v>78.7</v>
      </c>
      <c r="E598" s="1">
        <v>7.7</v>
      </c>
      <c r="F598" t="s">
        <v>18</v>
      </c>
      <c r="G598" s="2" t="s">
        <v>14</v>
      </c>
      <c r="H598" s="2" t="s">
        <v>14</v>
      </c>
      <c r="I598" t="s">
        <v>14</v>
      </c>
      <c r="J598">
        <v>70.3</v>
      </c>
      <c r="K598" s="1">
        <v>80.2</v>
      </c>
      <c r="L598" t="s">
        <v>20</v>
      </c>
    </row>
    <row r="599" spans="1:12" x14ac:dyDescent="0.35">
      <c r="A599">
        <v>598</v>
      </c>
      <c r="B599" t="s">
        <v>12</v>
      </c>
      <c r="C599" s="1">
        <v>3.4</v>
      </c>
      <c r="D599">
        <v>93.6</v>
      </c>
      <c r="E599" s="1">
        <v>7.1</v>
      </c>
      <c r="F599" t="s">
        <v>23</v>
      </c>
      <c r="G599" s="2" t="s">
        <v>15</v>
      </c>
      <c r="H599" s="2" t="s">
        <v>14</v>
      </c>
      <c r="I599" t="s">
        <v>15</v>
      </c>
      <c r="J599">
        <v>77.5</v>
      </c>
      <c r="K599" s="1">
        <v>80.900000000000006</v>
      </c>
      <c r="L599" t="s">
        <v>20</v>
      </c>
    </row>
    <row r="600" spans="1:12" x14ac:dyDescent="0.35">
      <c r="A600">
        <v>599</v>
      </c>
      <c r="B600" t="s">
        <v>17</v>
      </c>
      <c r="C600" s="1">
        <v>3.5</v>
      </c>
      <c r="D600">
        <v>94.5</v>
      </c>
      <c r="E600" s="1">
        <v>4.8</v>
      </c>
      <c r="F600" t="s">
        <v>18</v>
      </c>
      <c r="G600" s="2" t="s">
        <v>14</v>
      </c>
      <c r="H600" s="2" t="s">
        <v>14</v>
      </c>
      <c r="I600" t="s">
        <v>15</v>
      </c>
      <c r="J600">
        <v>72.3</v>
      </c>
      <c r="K600" s="1">
        <v>86.4</v>
      </c>
      <c r="L600" t="s">
        <v>20</v>
      </c>
    </row>
    <row r="601" spans="1:12" x14ac:dyDescent="0.35">
      <c r="A601">
        <v>600</v>
      </c>
      <c r="B601" t="s">
        <v>17</v>
      </c>
      <c r="C601" s="1">
        <v>1.8</v>
      </c>
      <c r="D601">
        <v>90.1</v>
      </c>
      <c r="E601" s="1">
        <v>5.6</v>
      </c>
      <c r="F601" t="s">
        <v>23</v>
      </c>
      <c r="G601" s="2" t="s">
        <v>14</v>
      </c>
      <c r="H601" s="2" t="s">
        <v>14</v>
      </c>
      <c r="I601" t="s">
        <v>15</v>
      </c>
      <c r="J601">
        <v>85.7</v>
      </c>
      <c r="K601" s="1">
        <v>86.3</v>
      </c>
      <c r="L601" t="s">
        <v>20</v>
      </c>
    </row>
    <row r="602" spans="1:12" x14ac:dyDescent="0.35">
      <c r="A602">
        <v>601</v>
      </c>
      <c r="B602" t="s">
        <v>12</v>
      </c>
      <c r="C602" s="1">
        <v>5.8</v>
      </c>
      <c r="D602">
        <v>92.3</v>
      </c>
      <c r="E602" s="1">
        <v>6.7</v>
      </c>
      <c r="F602" t="s">
        <v>18</v>
      </c>
      <c r="G602" s="2" t="s">
        <v>14</v>
      </c>
      <c r="H602" s="2" t="s">
        <v>14</v>
      </c>
      <c r="I602" t="s">
        <v>14</v>
      </c>
      <c r="J602">
        <v>69.099999999999994</v>
      </c>
      <c r="K602" s="1">
        <v>93.4</v>
      </c>
      <c r="L602" t="s">
        <v>16</v>
      </c>
    </row>
    <row r="603" spans="1:12" x14ac:dyDescent="0.35">
      <c r="A603">
        <v>602</v>
      </c>
      <c r="B603" t="s">
        <v>17</v>
      </c>
      <c r="C603" s="1">
        <v>4.8</v>
      </c>
      <c r="D603">
        <v>90.2</v>
      </c>
      <c r="E603" s="1">
        <v>6.9</v>
      </c>
      <c r="F603" t="s">
        <v>18</v>
      </c>
      <c r="G603" s="2" t="s">
        <v>14</v>
      </c>
      <c r="H603" s="2" t="s">
        <v>15</v>
      </c>
      <c r="I603" t="s">
        <v>15</v>
      </c>
      <c r="J603">
        <v>67.8</v>
      </c>
      <c r="K603" s="1">
        <v>95.1</v>
      </c>
      <c r="L603" t="s">
        <v>16</v>
      </c>
    </row>
    <row r="604" spans="1:12" x14ac:dyDescent="0.35">
      <c r="A604">
        <v>603</v>
      </c>
      <c r="B604" t="s">
        <v>17</v>
      </c>
      <c r="C604" s="1">
        <v>3.2</v>
      </c>
      <c r="D604">
        <v>78.599999999999994</v>
      </c>
      <c r="E604" s="1">
        <v>5.4</v>
      </c>
      <c r="F604" t="s">
        <v>13</v>
      </c>
      <c r="G604" s="2" t="s">
        <v>14</v>
      </c>
      <c r="H604" s="2" t="s">
        <v>15</v>
      </c>
      <c r="I604" t="s">
        <v>15</v>
      </c>
      <c r="J604">
        <v>77.099999999999994</v>
      </c>
      <c r="K604" s="1">
        <v>83.9</v>
      </c>
      <c r="L604" t="s">
        <v>20</v>
      </c>
    </row>
    <row r="605" spans="1:12" x14ac:dyDescent="0.35">
      <c r="A605">
        <v>604</v>
      </c>
      <c r="B605" t="s">
        <v>17</v>
      </c>
      <c r="C605" s="1">
        <v>3.5</v>
      </c>
      <c r="D605">
        <v>89.3</v>
      </c>
      <c r="E605" s="1">
        <v>9.6999999999999993</v>
      </c>
      <c r="F605" t="s">
        <v>18</v>
      </c>
      <c r="G605" s="2" t="s">
        <v>14</v>
      </c>
      <c r="H605" s="2" t="s">
        <v>14</v>
      </c>
      <c r="I605" t="s">
        <v>15</v>
      </c>
      <c r="J605">
        <v>71.2</v>
      </c>
      <c r="K605" s="1">
        <v>100</v>
      </c>
      <c r="L605" t="s">
        <v>16</v>
      </c>
    </row>
    <row r="606" spans="1:12" x14ac:dyDescent="0.35">
      <c r="A606">
        <v>605</v>
      </c>
      <c r="B606" t="s">
        <v>12</v>
      </c>
      <c r="C606" s="1">
        <v>3.8</v>
      </c>
      <c r="D606">
        <v>93</v>
      </c>
      <c r="E606" s="1">
        <v>8.6</v>
      </c>
      <c r="F606" t="s">
        <v>13</v>
      </c>
      <c r="G606" s="2" t="s">
        <v>14</v>
      </c>
      <c r="H606" s="2" t="s">
        <v>14</v>
      </c>
      <c r="I606" t="s">
        <v>15</v>
      </c>
      <c r="J606">
        <v>65.3</v>
      </c>
      <c r="K606" s="1">
        <v>80.900000000000006</v>
      </c>
      <c r="L606" t="s">
        <v>20</v>
      </c>
    </row>
    <row r="607" spans="1:12" x14ac:dyDescent="0.35">
      <c r="A607">
        <v>606</v>
      </c>
      <c r="B607" t="s">
        <v>12</v>
      </c>
      <c r="C607" s="1">
        <v>0.5</v>
      </c>
      <c r="D607">
        <v>92.5</v>
      </c>
      <c r="E607" s="1">
        <v>7.5</v>
      </c>
      <c r="F607" t="s">
        <v>18</v>
      </c>
      <c r="G607" s="2" t="s">
        <v>14</v>
      </c>
      <c r="H607" s="2" t="s">
        <v>15</v>
      </c>
      <c r="I607" t="s">
        <v>15</v>
      </c>
      <c r="J607">
        <v>76.2</v>
      </c>
      <c r="K607" s="1">
        <v>76.400000000000006</v>
      </c>
      <c r="L607" t="s">
        <v>22</v>
      </c>
    </row>
    <row r="608" spans="1:12" x14ac:dyDescent="0.35">
      <c r="A608">
        <v>607</v>
      </c>
      <c r="B608" t="s">
        <v>12</v>
      </c>
      <c r="C608" s="1">
        <v>3.1</v>
      </c>
      <c r="D608">
        <v>96.9</v>
      </c>
      <c r="E608" s="1">
        <v>6.9</v>
      </c>
      <c r="F608" t="s">
        <v>18</v>
      </c>
      <c r="G608" s="2" t="s">
        <v>15</v>
      </c>
      <c r="H608" s="2" t="s">
        <v>15</v>
      </c>
      <c r="I608" t="s">
        <v>15</v>
      </c>
      <c r="J608">
        <v>62.2</v>
      </c>
      <c r="K608" s="1">
        <v>73.599999999999994</v>
      </c>
      <c r="L608" t="s">
        <v>22</v>
      </c>
    </row>
    <row r="609" spans="1:12" x14ac:dyDescent="0.35">
      <c r="A609">
        <v>608</v>
      </c>
      <c r="B609" t="s">
        <v>17</v>
      </c>
      <c r="C609" s="1">
        <v>2.5</v>
      </c>
      <c r="D609">
        <v>92.1</v>
      </c>
      <c r="E609" s="1">
        <v>6.5</v>
      </c>
      <c r="F609" t="s">
        <v>18</v>
      </c>
      <c r="G609" s="2" t="s">
        <v>14</v>
      </c>
      <c r="H609" s="2" t="s">
        <v>14</v>
      </c>
      <c r="I609" t="s">
        <v>15</v>
      </c>
      <c r="J609">
        <v>62.7</v>
      </c>
      <c r="K609" s="1">
        <v>84</v>
      </c>
      <c r="L609" t="s">
        <v>20</v>
      </c>
    </row>
    <row r="610" spans="1:12" x14ac:dyDescent="0.35">
      <c r="A610">
        <v>609</v>
      </c>
      <c r="B610" t="s">
        <v>17</v>
      </c>
      <c r="C610" s="1">
        <v>2</v>
      </c>
      <c r="D610">
        <v>88.5</v>
      </c>
      <c r="E610" s="1">
        <v>5.7</v>
      </c>
      <c r="F610" t="s">
        <v>18</v>
      </c>
      <c r="G610" s="2" t="s">
        <v>15</v>
      </c>
      <c r="H610" s="2" t="s">
        <v>14</v>
      </c>
      <c r="I610" t="s">
        <v>14</v>
      </c>
      <c r="J610">
        <v>63.7</v>
      </c>
      <c r="K610" s="1">
        <v>58.6</v>
      </c>
      <c r="L610" t="s">
        <v>25</v>
      </c>
    </row>
    <row r="611" spans="1:12" x14ac:dyDescent="0.35">
      <c r="A611">
        <v>610</v>
      </c>
      <c r="B611" t="s">
        <v>17</v>
      </c>
      <c r="C611" s="1">
        <v>3.1</v>
      </c>
      <c r="D611">
        <v>95.7</v>
      </c>
      <c r="E611" s="1">
        <v>6.9</v>
      </c>
      <c r="F611" t="s">
        <v>19</v>
      </c>
      <c r="G611" s="2" t="s">
        <v>14</v>
      </c>
      <c r="H611" s="2" t="s">
        <v>14</v>
      </c>
      <c r="I611" t="s">
        <v>15</v>
      </c>
      <c r="J611">
        <v>86.2</v>
      </c>
      <c r="K611" s="1">
        <v>96.3</v>
      </c>
      <c r="L611" t="s">
        <v>16</v>
      </c>
    </row>
    <row r="612" spans="1:12" x14ac:dyDescent="0.35">
      <c r="A612">
        <v>611</v>
      </c>
      <c r="B612" t="s">
        <v>12</v>
      </c>
      <c r="C612" s="1">
        <v>6.2</v>
      </c>
      <c r="D612">
        <v>84.7</v>
      </c>
      <c r="E612" s="1">
        <v>7.1</v>
      </c>
      <c r="F612" t="s">
        <v>18</v>
      </c>
      <c r="G612" s="2" t="s">
        <v>14</v>
      </c>
      <c r="H612" s="2" t="s">
        <v>14</v>
      </c>
      <c r="I612" t="s">
        <v>15</v>
      </c>
      <c r="J612">
        <v>31.3</v>
      </c>
      <c r="K612" s="1">
        <v>78.8</v>
      </c>
      <c r="L612" t="s">
        <v>22</v>
      </c>
    </row>
    <row r="613" spans="1:12" x14ac:dyDescent="0.35">
      <c r="A613">
        <v>612</v>
      </c>
      <c r="B613" t="s">
        <v>17</v>
      </c>
      <c r="C613" s="1">
        <v>4.5</v>
      </c>
      <c r="D613">
        <v>76.2</v>
      </c>
      <c r="E613" s="1">
        <v>5.3</v>
      </c>
      <c r="F613" t="s">
        <v>13</v>
      </c>
      <c r="G613" s="2" t="s">
        <v>14</v>
      </c>
      <c r="H613" s="2" t="s">
        <v>14</v>
      </c>
      <c r="I613" t="s">
        <v>14</v>
      </c>
      <c r="J613">
        <v>74.7</v>
      </c>
      <c r="K613" s="1">
        <v>79.8</v>
      </c>
      <c r="L613" t="s">
        <v>22</v>
      </c>
    </row>
    <row r="614" spans="1:12" x14ac:dyDescent="0.35">
      <c r="A614">
        <v>613</v>
      </c>
      <c r="B614" t="s">
        <v>17</v>
      </c>
      <c r="C614" s="1">
        <v>2.6</v>
      </c>
      <c r="D614">
        <v>83.4</v>
      </c>
      <c r="E614" s="1">
        <v>7.2</v>
      </c>
      <c r="F614" t="s">
        <v>18</v>
      </c>
      <c r="G614" s="2" t="s">
        <v>14</v>
      </c>
      <c r="H614" s="2" t="s">
        <v>14</v>
      </c>
      <c r="I614" t="s">
        <v>14</v>
      </c>
      <c r="J614">
        <v>70.400000000000006</v>
      </c>
      <c r="K614" s="1">
        <v>70</v>
      </c>
      <c r="L614" t="s">
        <v>22</v>
      </c>
    </row>
    <row r="615" spans="1:12" x14ac:dyDescent="0.35">
      <c r="A615">
        <v>614</v>
      </c>
      <c r="B615" t="s">
        <v>17</v>
      </c>
      <c r="C615" s="1">
        <v>4.4000000000000004</v>
      </c>
      <c r="D615">
        <v>77.599999999999994</v>
      </c>
      <c r="E615" s="1">
        <v>6.6</v>
      </c>
      <c r="F615" t="s">
        <v>18</v>
      </c>
      <c r="G615" s="2" t="s">
        <v>14</v>
      </c>
      <c r="H615" s="2" t="s">
        <v>15</v>
      </c>
      <c r="I615" t="s">
        <v>15</v>
      </c>
      <c r="J615">
        <v>49.8</v>
      </c>
      <c r="K615" s="1">
        <v>75</v>
      </c>
      <c r="L615" t="s">
        <v>22</v>
      </c>
    </row>
    <row r="616" spans="1:12" x14ac:dyDescent="0.35">
      <c r="A616">
        <v>615</v>
      </c>
      <c r="B616" t="s">
        <v>17</v>
      </c>
      <c r="C616" s="1">
        <v>5.6</v>
      </c>
      <c r="D616">
        <v>78.2</v>
      </c>
      <c r="E616" s="1">
        <v>4.5</v>
      </c>
      <c r="F616" t="s">
        <v>19</v>
      </c>
      <c r="G616" s="2" t="s">
        <v>14</v>
      </c>
      <c r="H616" s="2" t="s">
        <v>14</v>
      </c>
      <c r="I616" t="s">
        <v>14</v>
      </c>
      <c r="J616">
        <v>73.7</v>
      </c>
      <c r="K616" s="1">
        <v>95</v>
      </c>
      <c r="L616" t="s">
        <v>16</v>
      </c>
    </row>
    <row r="617" spans="1:12" x14ac:dyDescent="0.35">
      <c r="A617">
        <v>616</v>
      </c>
      <c r="B617" t="s">
        <v>12</v>
      </c>
      <c r="C617" s="1">
        <v>4.9000000000000004</v>
      </c>
      <c r="D617">
        <v>83.6</v>
      </c>
      <c r="E617" s="1">
        <v>5.8</v>
      </c>
      <c r="F617" t="s">
        <v>18</v>
      </c>
      <c r="G617" s="2" t="s">
        <v>14</v>
      </c>
      <c r="H617" s="2" t="s">
        <v>14</v>
      </c>
      <c r="I617" t="s">
        <v>15</v>
      </c>
      <c r="J617">
        <v>75.7</v>
      </c>
      <c r="K617" s="1">
        <v>92.4</v>
      </c>
      <c r="L617" t="s">
        <v>16</v>
      </c>
    </row>
    <row r="618" spans="1:12" x14ac:dyDescent="0.35">
      <c r="A618">
        <v>617</v>
      </c>
      <c r="B618" t="s">
        <v>12</v>
      </c>
      <c r="C618" s="1">
        <v>3.6</v>
      </c>
      <c r="D618">
        <v>77.099999999999994</v>
      </c>
      <c r="E618" s="1">
        <v>6.3</v>
      </c>
      <c r="F618" t="s">
        <v>19</v>
      </c>
      <c r="G618" s="2" t="s">
        <v>14</v>
      </c>
      <c r="H618" s="2" t="s">
        <v>14</v>
      </c>
      <c r="I618" t="s">
        <v>14</v>
      </c>
      <c r="J618">
        <v>77.099999999999994</v>
      </c>
      <c r="K618" s="1">
        <v>86.4</v>
      </c>
      <c r="L618" t="s">
        <v>20</v>
      </c>
    </row>
    <row r="619" spans="1:12" x14ac:dyDescent="0.35">
      <c r="A619">
        <v>618</v>
      </c>
      <c r="B619" t="s">
        <v>17</v>
      </c>
      <c r="C619" s="1">
        <v>2.5</v>
      </c>
      <c r="D619">
        <v>81.900000000000006</v>
      </c>
      <c r="E619" s="1">
        <v>9.1</v>
      </c>
      <c r="F619" t="s">
        <v>18</v>
      </c>
      <c r="G619" s="2" t="s">
        <v>14</v>
      </c>
      <c r="H619" s="2" t="s">
        <v>15</v>
      </c>
      <c r="I619" t="s">
        <v>15</v>
      </c>
      <c r="J619">
        <v>38.200000000000003</v>
      </c>
      <c r="K619" s="1">
        <v>79.099999999999994</v>
      </c>
      <c r="L619" t="s">
        <v>22</v>
      </c>
    </row>
    <row r="620" spans="1:12" x14ac:dyDescent="0.35">
      <c r="A620">
        <v>619</v>
      </c>
      <c r="B620" t="s">
        <v>12</v>
      </c>
      <c r="C620" s="1">
        <v>4.5</v>
      </c>
      <c r="D620">
        <v>66.099999999999994</v>
      </c>
      <c r="E620" s="1">
        <v>7.5</v>
      </c>
      <c r="F620" t="s">
        <v>23</v>
      </c>
      <c r="G620" s="2" t="s">
        <v>14</v>
      </c>
      <c r="H620" s="2" t="s">
        <v>15</v>
      </c>
      <c r="I620" t="s">
        <v>15</v>
      </c>
      <c r="J620">
        <v>86.4</v>
      </c>
      <c r="K620" s="1">
        <v>91.5</v>
      </c>
      <c r="L620" t="s">
        <v>16</v>
      </c>
    </row>
    <row r="621" spans="1:12" x14ac:dyDescent="0.35">
      <c r="A621">
        <v>620</v>
      </c>
      <c r="B621" t="s">
        <v>12</v>
      </c>
      <c r="C621" s="1">
        <v>4.0999999999999996</v>
      </c>
      <c r="D621">
        <v>87.1</v>
      </c>
      <c r="E621" s="1">
        <v>5.2</v>
      </c>
      <c r="F621" t="s">
        <v>13</v>
      </c>
      <c r="G621" s="2" t="s">
        <v>14</v>
      </c>
      <c r="H621" s="2" t="s">
        <v>14</v>
      </c>
      <c r="I621" t="s">
        <v>15</v>
      </c>
      <c r="J621">
        <v>61.1</v>
      </c>
      <c r="K621" s="1">
        <v>80.3</v>
      </c>
      <c r="L621" t="s">
        <v>20</v>
      </c>
    </row>
    <row r="622" spans="1:12" x14ac:dyDescent="0.35">
      <c r="A622">
        <v>621</v>
      </c>
      <c r="B622" t="s">
        <v>17</v>
      </c>
      <c r="C622" s="1">
        <v>4.8</v>
      </c>
      <c r="D622">
        <v>85</v>
      </c>
      <c r="E622" s="1">
        <v>7.4</v>
      </c>
      <c r="F622" t="s">
        <v>24</v>
      </c>
      <c r="G622" s="2" t="s">
        <v>14</v>
      </c>
      <c r="H622" s="2" t="s">
        <v>14</v>
      </c>
      <c r="I622" t="s">
        <v>15</v>
      </c>
      <c r="J622">
        <v>78.2</v>
      </c>
      <c r="K622" s="1">
        <v>98.3</v>
      </c>
      <c r="L622" t="s">
        <v>16</v>
      </c>
    </row>
    <row r="623" spans="1:12" x14ac:dyDescent="0.35">
      <c r="A623">
        <v>622</v>
      </c>
      <c r="B623" t="s">
        <v>17</v>
      </c>
      <c r="C623" s="1">
        <v>4.5</v>
      </c>
      <c r="D623">
        <v>76.8</v>
      </c>
      <c r="E623" s="1">
        <v>4.9000000000000004</v>
      </c>
      <c r="F623" t="s">
        <v>13</v>
      </c>
      <c r="G623" s="2" t="s">
        <v>15</v>
      </c>
      <c r="H623" s="2" t="s">
        <v>15</v>
      </c>
      <c r="I623" t="s">
        <v>15</v>
      </c>
      <c r="J623">
        <v>78.900000000000006</v>
      </c>
      <c r="K623" s="1">
        <v>79.3</v>
      </c>
      <c r="L623" t="s">
        <v>22</v>
      </c>
    </row>
    <row r="624" spans="1:12" x14ac:dyDescent="0.35">
      <c r="A624">
        <v>623</v>
      </c>
      <c r="B624" t="s">
        <v>12</v>
      </c>
      <c r="C624" s="1">
        <v>5.0999999999999996</v>
      </c>
      <c r="D624">
        <v>91.6</v>
      </c>
      <c r="E624" s="1">
        <v>8.1</v>
      </c>
      <c r="F624" t="s">
        <v>13</v>
      </c>
      <c r="G624" s="2" t="s">
        <v>14</v>
      </c>
      <c r="H624" s="2" t="s">
        <v>14</v>
      </c>
      <c r="I624" t="s">
        <v>15</v>
      </c>
      <c r="J624">
        <v>59.5</v>
      </c>
      <c r="K624" s="1">
        <v>89.5</v>
      </c>
      <c r="L624" t="s">
        <v>20</v>
      </c>
    </row>
    <row r="625" spans="1:12" x14ac:dyDescent="0.35">
      <c r="A625">
        <v>624</v>
      </c>
      <c r="B625" t="s">
        <v>17</v>
      </c>
      <c r="C625" s="1">
        <v>2.7</v>
      </c>
      <c r="D625">
        <v>94.4</v>
      </c>
      <c r="E625" s="1">
        <v>6.2</v>
      </c>
      <c r="F625" t="s">
        <v>18</v>
      </c>
      <c r="G625" s="2" t="s">
        <v>14</v>
      </c>
      <c r="H625" s="2" t="s">
        <v>14</v>
      </c>
      <c r="I625" t="s">
        <v>14</v>
      </c>
      <c r="J625">
        <v>77.900000000000006</v>
      </c>
      <c r="K625" s="1">
        <v>75.7</v>
      </c>
      <c r="L625" t="s">
        <v>22</v>
      </c>
    </row>
    <row r="626" spans="1:12" x14ac:dyDescent="0.35">
      <c r="A626">
        <v>625</v>
      </c>
      <c r="B626" t="s">
        <v>12</v>
      </c>
      <c r="C626" s="1">
        <v>5.5</v>
      </c>
      <c r="D626">
        <v>68.900000000000006</v>
      </c>
      <c r="E626" s="1">
        <v>6.7</v>
      </c>
      <c r="F626" t="s">
        <v>18</v>
      </c>
      <c r="G626" s="2" t="s">
        <v>14</v>
      </c>
      <c r="H626" s="2" t="s">
        <v>14</v>
      </c>
      <c r="I626" t="s">
        <v>14</v>
      </c>
      <c r="J626">
        <v>65.400000000000006</v>
      </c>
      <c r="K626" s="1">
        <v>89.6</v>
      </c>
      <c r="L626" t="s">
        <v>20</v>
      </c>
    </row>
    <row r="627" spans="1:12" x14ac:dyDescent="0.35">
      <c r="A627">
        <v>626</v>
      </c>
      <c r="B627" t="s">
        <v>17</v>
      </c>
      <c r="C627" s="1">
        <v>3.8</v>
      </c>
      <c r="D627">
        <v>77.400000000000006</v>
      </c>
      <c r="E627" s="1">
        <v>8.4</v>
      </c>
      <c r="F627" t="s">
        <v>19</v>
      </c>
      <c r="G627" s="2" t="s">
        <v>14</v>
      </c>
      <c r="H627" s="2" t="s">
        <v>14</v>
      </c>
      <c r="I627" t="s">
        <v>14</v>
      </c>
      <c r="J627">
        <v>45.1</v>
      </c>
      <c r="K627" s="1">
        <v>71</v>
      </c>
      <c r="L627" t="s">
        <v>22</v>
      </c>
    </row>
    <row r="628" spans="1:12" x14ac:dyDescent="0.35">
      <c r="A628">
        <v>627</v>
      </c>
      <c r="B628" t="s">
        <v>12</v>
      </c>
      <c r="C628" s="1">
        <v>6.6</v>
      </c>
      <c r="D628">
        <v>77.3</v>
      </c>
      <c r="E628" s="1">
        <v>5.3</v>
      </c>
      <c r="F628" t="s">
        <v>18</v>
      </c>
      <c r="G628" s="2" t="s">
        <v>15</v>
      </c>
      <c r="H628" s="2" t="s">
        <v>14</v>
      </c>
      <c r="I628" t="s">
        <v>15</v>
      </c>
      <c r="J628">
        <v>84</v>
      </c>
      <c r="K628" s="1">
        <v>96.8</v>
      </c>
      <c r="L628" t="s">
        <v>16</v>
      </c>
    </row>
    <row r="629" spans="1:12" x14ac:dyDescent="0.35">
      <c r="A629">
        <v>628</v>
      </c>
      <c r="B629" t="s">
        <v>17</v>
      </c>
      <c r="C629" s="1">
        <v>2.5</v>
      </c>
      <c r="D629">
        <v>75.599999999999994</v>
      </c>
      <c r="E629" s="1">
        <v>5.0999999999999996</v>
      </c>
      <c r="F629" t="s">
        <v>13</v>
      </c>
      <c r="G629" s="2" t="s">
        <v>14</v>
      </c>
      <c r="H629" s="2" t="s">
        <v>15</v>
      </c>
      <c r="I629" t="s">
        <v>14</v>
      </c>
      <c r="J629">
        <v>60.7</v>
      </c>
      <c r="K629" s="1">
        <v>61.9</v>
      </c>
      <c r="L629" t="s">
        <v>21</v>
      </c>
    </row>
    <row r="630" spans="1:12" x14ac:dyDescent="0.35">
      <c r="A630">
        <v>629</v>
      </c>
      <c r="B630" t="s">
        <v>12</v>
      </c>
      <c r="C630" s="1">
        <v>6.1</v>
      </c>
      <c r="D630">
        <v>93.3</v>
      </c>
      <c r="E630" s="1">
        <v>6.1</v>
      </c>
      <c r="F630" t="s">
        <v>23</v>
      </c>
      <c r="G630" s="2" t="s">
        <v>14</v>
      </c>
      <c r="H630" s="2" t="s">
        <v>15</v>
      </c>
      <c r="I630" t="s">
        <v>14</v>
      </c>
      <c r="J630">
        <v>59.7</v>
      </c>
      <c r="K630" s="1">
        <v>93.9</v>
      </c>
      <c r="L630" t="s">
        <v>16</v>
      </c>
    </row>
    <row r="631" spans="1:12" x14ac:dyDescent="0.35">
      <c r="A631">
        <v>630</v>
      </c>
      <c r="B631" t="s">
        <v>12</v>
      </c>
      <c r="C631" s="1">
        <v>3.8</v>
      </c>
      <c r="D631">
        <v>83.1</v>
      </c>
      <c r="E631" s="1">
        <v>8</v>
      </c>
      <c r="F631" t="s">
        <v>18</v>
      </c>
      <c r="G631" s="2" t="s">
        <v>14</v>
      </c>
      <c r="H631" s="2" t="s">
        <v>14</v>
      </c>
      <c r="I631" t="s">
        <v>15</v>
      </c>
      <c r="J631">
        <v>65.2</v>
      </c>
      <c r="K631" s="1">
        <v>81.3</v>
      </c>
      <c r="L631" t="s">
        <v>20</v>
      </c>
    </row>
    <row r="632" spans="1:12" x14ac:dyDescent="0.35">
      <c r="A632">
        <v>631</v>
      </c>
      <c r="B632" t="s">
        <v>12</v>
      </c>
      <c r="C632" s="1">
        <v>2.5</v>
      </c>
      <c r="D632">
        <v>82.4</v>
      </c>
      <c r="E632" s="1">
        <v>5</v>
      </c>
      <c r="F632" t="s">
        <v>19</v>
      </c>
      <c r="G632" s="2" t="s">
        <v>14</v>
      </c>
      <c r="H632" s="2" t="s">
        <v>15</v>
      </c>
      <c r="I632" t="s">
        <v>15</v>
      </c>
      <c r="J632">
        <v>73.3</v>
      </c>
      <c r="K632" s="1">
        <v>77.599999999999994</v>
      </c>
      <c r="L632" t="s">
        <v>22</v>
      </c>
    </row>
    <row r="633" spans="1:12" x14ac:dyDescent="0.35">
      <c r="A633">
        <v>632</v>
      </c>
      <c r="B633" t="s">
        <v>17</v>
      </c>
      <c r="C633" s="1">
        <v>2.8</v>
      </c>
      <c r="D633">
        <v>65</v>
      </c>
      <c r="E633" s="1">
        <v>3.4</v>
      </c>
      <c r="F633" t="s">
        <v>23</v>
      </c>
      <c r="G633" s="2" t="s">
        <v>15</v>
      </c>
      <c r="H633" s="2" t="s">
        <v>14</v>
      </c>
      <c r="I633" t="s">
        <v>15</v>
      </c>
      <c r="J633">
        <v>69.3</v>
      </c>
      <c r="K633" s="1">
        <v>71.400000000000006</v>
      </c>
      <c r="L633" t="s">
        <v>22</v>
      </c>
    </row>
    <row r="634" spans="1:12" x14ac:dyDescent="0.35">
      <c r="A634">
        <v>633</v>
      </c>
      <c r="B634" t="s">
        <v>12</v>
      </c>
      <c r="C634" s="1">
        <v>3</v>
      </c>
      <c r="D634">
        <v>91.4</v>
      </c>
      <c r="E634" s="1">
        <v>6.3</v>
      </c>
      <c r="F634" t="s">
        <v>13</v>
      </c>
      <c r="G634" s="2" t="s">
        <v>14</v>
      </c>
      <c r="H634" s="2" t="s">
        <v>14</v>
      </c>
      <c r="I634" t="s">
        <v>14</v>
      </c>
      <c r="J634">
        <v>76.599999999999994</v>
      </c>
      <c r="K634" s="1">
        <v>89.4</v>
      </c>
      <c r="L634" t="s">
        <v>20</v>
      </c>
    </row>
    <row r="635" spans="1:12" x14ac:dyDescent="0.35">
      <c r="A635">
        <v>634</v>
      </c>
      <c r="B635" t="s">
        <v>12</v>
      </c>
      <c r="C635" s="1">
        <v>4.0999999999999996</v>
      </c>
      <c r="D635">
        <v>72.599999999999994</v>
      </c>
      <c r="E635" s="1">
        <v>7.5</v>
      </c>
      <c r="F635" t="s">
        <v>24</v>
      </c>
      <c r="G635" s="2" t="s">
        <v>14</v>
      </c>
      <c r="H635" s="2" t="s">
        <v>15</v>
      </c>
      <c r="I635" t="s">
        <v>14</v>
      </c>
      <c r="J635">
        <v>53.9</v>
      </c>
      <c r="K635" s="1">
        <v>74.3</v>
      </c>
      <c r="L635" t="s">
        <v>22</v>
      </c>
    </row>
    <row r="636" spans="1:12" x14ac:dyDescent="0.35">
      <c r="A636">
        <v>635</v>
      </c>
      <c r="B636" t="s">
        <v>17</v>
      </c>
      <c r="C636" s="1">
        <v>4.3</v>
      </c>
      <c r="D636">
        <v>85.6</v>
      </c>
      <c r="E636" s="1">
        <v>8.1999999999999993</v>
      </c>
      <c r="F636" t="s">
        <v>18</v>
      </c>
      <c r="G636" s="2" t="s">
        <v>14</v>
      </c>
      <c r="H636" s="2" t="s">
        <v>15</v>
      </c>
      <c r="I636" t="s">
        <v>15</v>
      </c>
      <c r="J636">
        <v>61.1</v>
      </c>
      <c r="K636" s="1">
        <v>76</v>
      </c>
      <c r="L636" t="s">
        <v>22</v>
      </c>
    </row>
    <row r="637" spans="1:12" x14ac:dyDescent="0.35">
      <c r="A637">
        <v>636</v>
      </c>
      <c r="B637" t="s">
        <v>17</v>
      </c>
      <c r="C637" s="1">
        <v>2.6</v>
      </c>
      <c r="D637">
        <v>87.8</v>
      </c>
      <c r="E637" s="1">
        <v>6.2</v>
      </c>
      <c r="F637" t="s">
        <v>18</v>
      </c>
      <c r="G637" s="2" t="s">
        <v>14</v>
      </c>
      <c r="H637" s="2" t="s">
        <v>14</v>
      </c>
      <c r="I637" t="s">
        <v>14</v>
      </c>
      <c r="J637">
        <v>68.599999999999994</v>
      </c>
      <c r="K637" s="1">
        <v>96.3</v>
      </c>
      <c r="L637" t="s">
        <v>16</v>
      </c>
    </row>
    <row r="638" spans="1:12" x14ac:dyDescent="0.35">
      <c r="A638">
        <v>637</v>
      </c>
      <c r="B638" t="s">
        <v>12</v>
      </c>
      <c r="C638" s="1">
        <v>3.5</v>
      </c>
      <c r="D638">
        <v>98.6</v>
      </c>
      <c r="E638" s="1">
        <v>6.3</v>
      </c>
      <c r="F638" t="s">
        <v>13</v>
      </c>
      <c r="G638" s="2" t="s">
        <v>14</v>
      </c>
      <c r="H638" s="2" t="s">
        <v>14</v>
      </c>
      <c r="I638" t="s">
        <v>15</v>
      </c>
      <c r="J638">
        <v>92.8</v>
      </c>
      <c r="K638" s="1">
        <v>100</v>
      </c>
      <c r="L638" t="s">
        <v>16</v>
      </c>
    </row>
    <row r="639" spans="1:12" x14ac:dyDescent="0.35">
      <c r="A639">
        <v>638</v>
      </c>
      <c r="B639" t="s">
        <v>12</v>
      </c>
      <c r="C639" s="1">
        <v>6.7</v>
      </c>
      <c r="D639">
        <v>71.900000000000006</v>
      </c>
      <c r="E639" s="1">
        <v>8.1999999999999993</v>
      </c>
      <c r="F639" t="s">
        <v>18</v>
      </c>
      <c r="G639" s="2" t="s">
        <v>14</v>
      </c>
      <c r="H639" s="2" t="s">
        <v>15</v>
      </c>
      <c r="I639" t="s">
        <v>15</v>
      </c>
      <c r="J639">
        <v>68.599999999999994</v>
      </c>
      <c r="K639" s="1">
        <v>99.9</v>
      </c>
      <c r="L639" t="s">
        <v>16</v>
      </c>
    </row>
    <row r="640" spans="1:12" x14ac:dyDescent="0.35">
      <c r="A640">
        <v>639</v>
      </c>
      <c r="B640" t="s">
        <v>17</v>
      </c>
      <c r="C640" s="1">
        <v>6.1</v>
      </c>
      <c r="D640">
        <v>54.8</v>
      </c>
      <c r="E640" s="1">
        <v>4.5999999999999996</v>
      </c>
      <c r="F640" t="s">
        <v>23</v>
      </c>
      <c r="G640" s="2" t="s">
        <v>14</v>
      </c>
      <c r="H640" s="2" t="s">
        <v>15</v>
      </c>
      <c r="I640" t="s">
        <v>15</v>
      </c>
      <c r="J640">
        <v>83</v>
      </c>
      <c r="K640" s="1">
        <v>83.8</v>
      </c>
      <c r="L640" t="s">
        <v>20</v>
      </c>
    </row>
    <row r="641" spans="1:12" x14ac:dyDescent="0.35">
      <c r="A641">
        <v>640</v>
      </c>
      <c r="B641" t="s">
        <v>17</v>
      </c>
      <c r="C641" s="1">
        <v>4.2</v>
      </c>
      <c r="D641">
        <v>86.8</v>
      </c>
      <c r="E641" s="1">
        <v>6.3</v>
      </c>
      <c r="F641" t="s">
        <v>19</v>
      </c>
      <c r="G641" s="2" t="s">
        <v>15</v>
      </c>
      <c r="H641" s="2" t="s">
        <v>15</v>
      </c>
      <c r="I641" t="s">
        <v>14</v>
      </c>
      <c r="J641">
        <v>70.5</v>
      </c>
      <c r="K641" s="1">
        <v>79.400000000000006</v>
      </c>
      <c r="L641" t="s">
        <v>22</v>
      </c>
    </row>
    <row r="642" spans="1:12" x14ac:dyDescent="0.35">
      <c r="A642">
        <v>641</v>
      </c>
      <c r="B642" t="s">
        <v>17</v>
      </c>
      <c r="C642" s="1">
        <v>3.6</v>
      </c>
      <c r="D642">
        <v>100</v>
      </c>
      <c r="E642" s="1">
        <v>7</v>
      </c>
      <c r="F642" t="s">
        <v>13</v>
      </c>
      <c r="G642" s="2" t="s">
        <v>14</v>
      </c>
      <c r="H642" s="2" t="s">
        <v>14</v>
      </c>
      <c r="I642" t="s">
        <v>15</v>
      </c>
      <c r="J642">
        <v>64.2</v>
      </c>
      <c r="K642" s="1">
        <v>86</v>
      </c>
      <c r="L642" t="s">
        <v>20</v>
      </c>
    </row>
    <row r="643" spans="1:12" x14ac:dyDescent="0.35">
      <c r="A643">
        <v>642</v>
      </c>
      <c r="B643" t="s">
        <v>17</v>
      </c>
      <c r="C643" s="1">
        <v>3.7</v>
      </c>
      <c r="D643">
        <v>97.4</v>
      </c>
      <c r="E643" s="1">
        <v>7.3</v>
      </c>
      <c r="F643" t="s">
        <v>18</v>
      </c>
      <c r="G643" s="2" t="s">
        <v>14</v>
      </c>
      <c r="H643" s="2" t="s">
        <v>14</v>
      </c>
      <c r="I643" t="s">
        <v>15</v>
      </c>
      <c r="J643">
        <v>67</v>
      </c>
      <c r="K643" s="1">
        <v>97.9</v>
      </c>
      <c r="L643" t="s">
        <v>16</v>
      </c>
    </row>
    <row r="644" spans="1:12" x14ac:dyDescent="0.35">
      <c r="A644">
        <v>643</v>
      </c>
      <c r="B644" t="s">
        <v>17</v>
      </c>
      <c r="C644" s="1">
        <v>4.4000000000000004</v>
      </c>
      <c r="D644">
        <v>87.1</v>
      </c>
      <c r="E644" s="1">
        <v>6.2</v>
      </c>
      <c r="F644" t="s">
        <v>19</v>
      </c>
      <c r="G644" s="2" t="s">
        <v>14</v>
      </c>
      <c r="H644" s="2" t="s">
        <v>14</v>
      </c>
      <c r="I644" t="s">
        <v>15</v>
      </c>
      <c r="J644">
        <v>68</v>
      </c>
      <c r="K644" s="1">
        <v>90.5</v>
      </c>
      <c r="L644" t="s">
        <v>16</v>
      </c>
    </row>
    <row r="645" spans="1:12" x14ac:dyDescent="0.35">
      <c r="A645">
        <v>644</v>
      </c>
      <c r="B645" t="s">
        <v>12</v>
      </c>
      <c r="C645" s="1">
        <v>2</v>
      </c>
      <c r="D645">
        <v>80.099999999999994</v>
      </c>
      <c r="E645" s="1">
        <v>6.8</v>
      </c>
      <c r="F645" t="s">
        <v>13</v>
      </c>
      <c r="G645" s="2" t="s">
        <v>15</v>
      </c>
      <c r="H645" s="2" t="s">
        <v>14</v>
      </c>
      <c r="I645" t="s">
        <v>15</v>
      </c>
      <c r="J645">
        <v>77.2</v>
      </c>
      <c r="K645" s="1">
        <v>70.400000000000006</v>
      </c>
      <c r="L645" t="s">
        <v>22</v>
      </c>
    </row>
    <row r="646" spans="1:12" x14ac:dyDescent="0.35">
      <c r="A646">
        <v>645</v>
      </c>
      <c r="B646" t="s">
        <v>17</v>
      </c>
      <c r="C646" s="1">
        <v>3.1</v>
      </c>
      <c r="D646">
        <v>93.1</v>
      </c>
      <c r="E646" s="1">
        <v>3.8</v>
      </c>
      <c r="F646" t="s">
        <v>13</v>
      </c>
      <c r="G646" s="2" t="s">
        <v>14</v>
      </c>
      <c r="H646" s="2" t="s">
        <v>15</v>
      </c>
      <c r="I646" t="s">
        <v>14</v>
      </c>
      <c r="J646">
        <v>86.5</v>
      </c>
      <c r="K646" s="1">
        <v>82.9</v>
      </c>
      <c r="L646" t="s">
        <v>20</v>
      </c>
    </row>
    <row r="647" spans="1:12" x14ac:dyDescent="0.35">
      <c r="A647">
        <v>646</v>
      </c>
      <c r="B647" t="s">
        <v>12</v>
      </c>
      <c r="C647" s="1">
        <v>1</v>
      </c>
      <c r="D647">
        <v>75.3</v>
      </c>
      <c r="E647" s="1">
        <v>6</v>
      </c>
      <c r="F647" t="s">
        <v>13</v>
      </c>
      <c r="G647" s="2" t="s">
        <v>14</v>
      </c>
      <c r="H647" s="2" t="s">
        <v>14</v>
      </c>
      <c r="I647" t="s">
        <v>14</v>
      </c>
      <c r="J647">
        <v>74.3</v>
      </c>
      <c r="K647" s="1">
        <v>75.5</v>
      </c>
      <c r="L647" t="s">
        <v>22</v>
      </c>
    </row>
    <row r="648" spans="1:12" x14ac:dyDescent="0.35">
      <c r="A648">
        <v>647</v>
      </c>
      <c r="B648" t="s">
        <v>12</v>
      </c>
      <c r="C648" s="1">
        <v>4.0999999999999996</v>
      </c>
      <c r="D648">
        <v>89.8</v>
      </c>
      <c r="E648" s="1">
        <v>7.3</v>
      </c>
      <c r="F648" t="s">
        <v>19</v>
      </c>
      <c r="G648" s="2" t="s">
        <v>14</v>
      </c>
      <c r="H648" s="2" t="s">
        <v>14</v>
      </c>
      <c r="I648" t="s">
        <v>15</v>
      </c>
      <c r="J648">
        <v>84.2</v>
      </c>
      <c r="K648" s="1">
        <v>100</v>
      </c>
      <c r="L648" t="s">
        <v>16</v>
      </c>
    </row>
    <row r="649" spans="1:12" x14ac:dyDescent="0.35">
      <c r="A649">
        <v>648</v>
      </c>
      <c r="B649" t="s">
        <v>12</v>
      </c>
      <c r="C649" s="1">
        <v>4.5</v>
      </c>
      <c r="D649">
        <v>90.1</v>
      </c>
      <c r="E649" s="1">
        <v>5.6</v>
      </c>
      <c r="F649" t="s">
        <v>13</v>
      </c>
      <c r="G649" s="2" t="s">
        <v>14</v>
      </c>
      <c r="H649" s="2" t="s">
        <v>15</v>
      </c>
      <c r="I649" t="s">
        <v>15</v>
      </c>
      <c r="J649">
        <v>58.4</v>
      </c>
      <c r="K649" s="1">
        <v>94</v>
      </c>
      <c r="L649" t="s">
        <v>16</v>
      </c>
    </row>
    <row r="650" spans="1:12" x14ac:dyDescent="0.35">
      <c r="A650">
        <v>649</v>
      </c>
      <c r="B650" t="s">
        <v>17</v>
      </c>
      <c r="C650" s="1">
        <v>2.8</v>
      </c>
      <c r="D650">
        <v>95.6</v>
      </c>
      <c r="E650" s="1">
        <v>6.9</v>
      </c>
      <c r="F650" t="s">
        <v>23</v>
      </c>
      <c r="G650" s="2" t="s">
        <v>14</v>
      </c>
      <c r="H650" s="2" t="s">
        <v>14</v>
      </c>
      <c r="I650" t="s">
        <v>15</v>
      </c>
      <c r="J650">
        <v>65</v>
      </c>
      <c r="K650" s="1">
        <v>88.9</v>
      </c>
      <c r="L650" t="s">
        <v>20</v>
      </c>
    </row>
    <row r="651" spans="1:12" x14ac:dyDescent="0.35">
      <c r="A651">
        <v>650</v>
      </c>
      <c r="B651" t="s">
        <v>12</v>
      </c>
      <c r="C651" s="1">
        <v>5.9</v>
      </c>
      <c r="D651">
        <v>100</v>
      </c>
      <c r="E651" s="1">
        <v>7.3</v>
      </c>
      <c r="F651" t="s">
        <v>23</v>
      </c>
      <c r="G651" s="2" t="s">
        <v>14</v>
      </c>
      <c r="H651" s="2" t="s">
        <v>14</v>
      </c>
      <c r="I651" t="s">
        <v>15</v>
      </c>
      <c r="J651">
        <v>61.3</v>
      </c>
      <c r="K651" s="1">
        <v>97.3</v>
      </c>
      <c r="L651" t="s">
        <v>16</v>
      </c>
    </row>
    <row r="652" spans="1:12" x14ac:dyDescent="0.35">
      <c r="A652">
        <v>651</v>
      </c>
      <c r="B652" t="s">
        <v>12</v>
      </c>
      <c r="C652" s="1">
        <v>1.7</v>
      </c>
      <c r="D652">
        <v>88.9</v>
      </c>
      <c r="E652" s="1">
        <v>6.4</v>
      </c>
      <c r="F652" t="s">
        <v>18</v>
      </c>
      <c r="G652" s="2" t="s">
        <v>14</v>
      </c>
      <c r="H652" s="2" t="s">
        <v>15</v>
      </c>
      <c r="I652" t="s">
        <v>15</v>
      </c>
      <c r="J652">
        <v>73.8</v>
      </c>
      <c r="K652" s="1">
        <v>59.5</v>
      </c>
      <c r="L652" t="s">
        <v>25</v>
      </c>
    </row>
    <row r="653" spans="1:12" x14ac:dyDescent="0.35">
      <c r="A653">
        <v>652</v>
      </c>
      <c r="B653" t="s">
        <v>17</v>
      </c>
      <c r="C653" s="1">
        <v>1.3</v>
      </c>
      <c r="D653">
        <v>79.900000000000006</v>
      </c>
      <c r="E653" s="1">
        <v>7</v>
      </c>
      <c r="F653" t="s">
        <v>13</v>
      </c>
      <c r="G653" s="2" t="s">
        <v>14</v>
      </c>
      <c r="H653" s="2" t="s">
        <v>15</v>
      </c>
      <c r="I653" t="s">
        <v>15</v>
      </c>
      <c r="J653">
        <v>65.7</v>
      </c>
      <c r="K653" s="1">
        <v>73.3</v>
      </c>
      <c r="L653" t="s">
        <v>22</v>
      </c>
    </row>
    <row r="654" spans="1:12" x14ac:dyDescent="0.35">
      <c r="A654">
        <v>653</v>
      </c>
      <c r="B654" t="s">
        <v>12</v>
      </c>
      <c r="C654" s="1">
        <v>3.8</v>
      </c>
      <c r="D654">
        <v>84.7</v>
      </c>
      <c r="E654" s="1">
        <v>5.6</v>
      </c>
      <c r="F654" t="s">
        <v>23</v>
      </c>
      <c r="G654" s="2" t="s">
        <v>14</v>
      </c>
      <c r="H654" s="2" t="s">
        <v>15</v>
      </c>
      <c r="I654" t="s">
        <v>15</v>
      </c>
      <c r="J654">
        <v>78.8</v>
      </c>
      <c r="K654" s="1">
        <v>88</v>
      </c>
      <c r="L654" t="s">
        <v>20</v>
      </c>
    </row>
    <row r="655" spans="1:12" x14ac:dyDescent="0.35">
      <c r="A655">
        <v>654</v>
      </c>
      <c r="B655" t="s">
        <v>12</v>
      </c>
      <c r="C655" s="1">
        <v>5.0999999999999996</v>
      </c>
      <c r="D655">
        <v>67.3</v>
      </c>
      <c r="E655" s="1">
        <v>6.6</v>
      </c>
      <c r="F655" t="s">
        <v>13</v>
      </c>
      <c r="G655" s="2" t="s">
        <v>15</v>
      </c>
      <c r="H655" s="2" t="s">
        <v>14</v>
      </c>
      <c r="I655" t="s">
        <v>14</v>
      </c>
      <c r="J655">
        <v>58.8</v>
      </c>
      <c r="K655" s="1">
        <v>74.8</v>
      </c>
      <c r="L655" t="s">
        <v>22</v>
      </c>
    </row>
    <row r="656" spans="1:12" x14ac:dyDescent="0.35">
      <c r="A656">
        <v>655</v>
      </c>
      <c r="B656" t="s">
        <v>17</v>
      </c>
      <c r="C656" s="1">
        <v>6</v>
      </c>
      <c r="D656">
        <v>78.099999999999994</v>
      </c>
      <c r="E656" s="1">
        <v>7.5</v>
      </c>
      <c r="F656" t="s">
        <v>23</v>
      </c>
      <c r="G656" s="2" t="s">
        <v>15</v>
      </c>
      <c r="H656" s="2" t="s">
        <v>15</v>
      </c>
      <c r="I656" t="s">
        <v>15</v>
      </c>
      <c r="J656">
        <v>70.5</v>
      </c>
      <c r="K656" s="1">
        <v>89.9</v>
      </c>
      <c r="L656" t="s">
        <v>20</v>
      </c>
    </row>
    <row r="657" spans="1:12" x14ac:dyDescent="0.35">
      <c r="A657">
        <v>656</v>
      </c>
      <c r="B657" t="s">
        <v>12</v>
      </c>
      <c r="C657" s="1">
        <v>2.8</v>
      </c>
      <c r="D657">
        <v>80.900000000000006</v>
      </c>
      <c r="E657" s="1">
        <v>7</v>
      </c>
      <c r="F657" t="s">
        <v>19</v>
      </c>
      <c r="G657" s="2" t="s">
        <v>14</v>
      </c>
      <c r="H657" s="2" t="s">
        <v>15</v>
      </c>
      <c r="I657" t="s">
        <v>14</v>
      </c>
      <c r="J657">
        <v>78.2</v>
      </c>
      <c r="K657" s="1">
        <v>72.599999999999994</v>
      </c>
      <c r="L657" t="s">
        <v>22</v>
      </c>
    </row>
    <row r="658" spans="1:12" x14ac:dyDescent="0.35">
      <c r="A658">
        <v>657</v>
      </c>
      <c r="B658" t="s">
        <v>12</v>
      </c>
      <c r="C658" s="1">
        <v>5.0999999999999996</v>
      </c>
      <c r="D658">
        <v>79.8</v>
      </c>
      <c r="E658" s="1">
        <v>6.1</v>
      </c>
      <c r="F658" t="s">
        <v>13</v>
      </c>
      <c r="G658" s="2" t="s">
        <v>14</v>
      </c>
      <c r="H658" s="2" t="s">
        <v>14</v>
      </c>
      <c r="I658" t="s">
        <v>15</v>
      </c>
      <c r="J658">
        <v>45.2</v>
      </c>
      <c r="K658" s="1">
        <v>83.6</v>
      </c>
      <c r="L658" t="s">
        <v>20</v>
      </c>
    </row>
    <row r="659" spans="1:12" x14ac:dyDescent="0.35">
      <c r="A659">
        <v>658</v>
      </c>
      <c r="B659" t="s">
        <v>12</v>
      </c>
      <c r="C659" s="1">
        <v>3.4</v>
      </c>
      <c r="D659">
        <v>86.5</v>
      </c>
      <c r="E659" s="1">
        <v>7.1</v>
      </c>
      <c r="F659" t="s">
        <v>23</v>
      </c>
      <c r="G659" s="2" t="s">
        <v>14</v>
      </c>
      <c r="H659" s="2" t="s">
        <v>14</v>
      </c>
      <c r="I659" t="s">
        <v>15</v>
      </c>
      <c r="J659">
        <v>95.5</v>
      </c>
      <c r="K659" s="1">
        <v>100</v>
      </c>
      <c r="L659" t="s">
        <v>16</v>
      </c>
    </row>
    <row r="660" spans="1:12" x14ac:dyDescent="0.35">
      <c r="A660">
        <v>659</v>
      </c>
      <c r="B660" t="s">
        <v>17</v>
      </c>
      <c r="C660" s="1">
        <v>3.2</v>
      </c>
      <c r="D660">
        <v>76.8</v>
      </c>
      <c r="E660" s="1">
        <v>7.7</v>
      </c>
      <c r="F660" t="s">
        <v>23</v>
      </c>
      <c r="G660" s="2" t="s">
        <v>14</v>
      </c>
      <c r="H660" s="2" t="s">
        <v>15</v>
      </c>
      <c r="I660" t="s">
        <v>15</v>
      </c>
      <c r="J660">
        <v>66.599999999999994</v>
      </c>
      <c r="K660" s="1">
        <v>84.3</v>
      </c>
      <c r="L660" t="s">
        <v>20</v>
      </c>
    </row>
    <row r="661" spans="1:12" x14ac:dyDescent="0.35">
      <c r="A661">
        <v>660</v>
      </c>
      <c r="B661" t="s">
        <v>17</v>
      </c>
      <c r="C661" s="1">
        <v>4.8</v>
      </c>
      <c r="D661">
        <v>96.2</v>
      </c>
      <c r="E661" s="1">
        <v>4.3</v>
      </c>
      <c r="F661" t="s">
        <v>23</v>
      </c>
      <c r="G661" s="2" t="s">
        <v>14</v>
      </c>
      <c r="H661" s="2" t="s">
        <v>14</v>
      </c>
      <c r="I661" t="s">
        <v>14</v>
      </c>
      <c r="J661">
        <v>45.7</v>
      </c>
      <c r="K661" s="1">
        <v>85.4</v>
      </c>
      <c r="L661" t="s">
        <v>20</v>
      </c>
    </row>
    <row r="662" spans="1:12" x14ac:dyDescent="0.35">
      <c r="A662">
        <v>661</v>
      </c>
      <c r="B662" t="s">
        <v>17</v>
      </c>
      <c r="C662" s="1">
        <v>4.5</v>
      </c>
      <c r="D662">
        <v>85</v>
      </c>
      <c r="E662" s="1">
        <v>8.1999999999999993</v>
      </c>
      <c r="F662" t="s">
        <v>13</v>
      </c>
      <c r="G662" s="2" t="s">
        <v>14</v>
      </c>
      <c r="H662" s="2" t="s">
        <v>15</v>
      </c>
      <c r="I662" t="s">
        <v>15</v>
      </c>
      <c r="J662">
        <v>71.900000000000006</v>
      </c>
      <c r="K662" s="1">
        <v>95.2</v>
      </c>
      <c r="L662" t="s">
        <v>16</v>
      </c>
    </row>
    <row r="663" spans="1:12" x14ac:dyDescent="0.35">
      <c r="A663">
        <v>662</v>
      </c>
      <c r="B663" t="s">
        <v>12</v>
      </c>
      <c r="C663" s="1">
        <v>1.1000000000000001</v>
      </c>
      <c r="D663">
        <v>84.9</v>
      </c>
      <c r="E663" s="1">
        <v>6.4</v>
      </c>
      <c r="F663" t="s">
        <v>18</v>
      </c>
      <c r="G663" s="2" t="s">
        <v>14</v>
      </c>
      <c r="H663" s="2" t="s">
        <v>14</v>
      </c>
      <c r="I663" t="s">
        <v>14</v>
      </c>
      <c r="J663">
        <v>70.400000000000006</v>
      </c>
      <c r="K663" s="1">
        <v>69</v>
      </c>
      <c r="L663" t="s">
        <v>21</v>
      </c>
    </row>
    <row r="664" spans="1:12" x14ac:dyDescent="0.35">
      <c r="A664">
        <v>663</v>
      </c>
      <c r="B664" t="s">
        <v>12</v>
      </c>
      <c r="C664" s="1">
        <v>5.7</v>
      </c>
      <c r="D664">
        <v>81.7</v>
      </c>
      <c r="E664" s="1">
        <v>7.3</v>
      </c>
      <c r="F664" t="s">
        <v>13</v>
      </c>
      <c r="G664" s="2" t="s">
        <v>14</v>
      </c>
      <c r="H664" s="2" t="s">
        <v>14</v>
      </c>
      <c r="I664" t="s">
        <v>15</v>
      </c>
      <c r="J664">
        <v>69</v>
      </c>
      <c r="K664" s="1">
        <v>94.2</v>
      </c>
      <c r="L664" t="s">
        <v>16</v>
      </c>
    </row>
    <row r="665" spans="1:12" x14ac:dyDescent="0.35">
      <c r="A665">
        <v>664</v>
      </c>
      <c r="B665" t="s">
        <v>17</v>
      </c>
      <c r="C665" s="1">
        <v>5.6</v>
      </c>
      <c r="D665">
        <v>86.6</v>
      </c>
      <c r="E665" s="1">
        <v>8.1999999999999993</v>
      </c>
      <c r="F665" t="s">
        <v>23</v>
      </c>
      <c r="G665" s="2" t="s">
        <v>14</v>
      </c>
      <c r="H665" s="2" t="s">
        <v>14</v>
      </c>
      <c r="I665" t="s">
        <v>14</v>
      </c>
      <c r="J665">
        <v>81.900000000000006</v>
      </c>
      <c r="K665" s="1">
        <v>99.7</v>
      </c>
      <c r="L665" t="s">
        <v>16</v>
      </c>
    </row>
    <row r="666" spans="1:12" x14ac:dyDescent="0.35">
      <c r="A666">
        <v>665</v>
      </c>
      <c r="B666" t="s">
        <v>12</v>
      </c>
      <c r="C666" s="1">
        <v>2.6</v>
      </c>
      <c r="D666">
        <v>93.3</v>
      </c>
      <c r="E666" s="1">
        <v>5.2</v>
      </c>
      <c r="F666" t="s">
        <v>13</v>
      </c>
      <c r="G666" s="2" t="s">
        <v>14</v>
      </c>
      <c r="H666" s="2" t="s">
        <v>15</v>
      </c>
      <c r="I666" t="s">
        <v>15</v>
      </c>
      <c r="J666">
        <v>79</v>
      </c>
      <c r="K666" s="1">
        <v>85.8</v>
      </c>
      <c r="L666" t="s">
        <v>20</v>
      </c>
    </row>
    <row r="667" spans="1:12" x14ac:dyDescent="0.35">
      <c r="A667">
        <v>666</v>
      </c>
      <c r="B667" t="s">
        <v>12</v>
      </c>
      <c r="C667" s="1">
        <v>4.0999999999999996</v>
      </c>
      <c r="D667">
        <v>76.3</v>
      </c>
      <c r="E667" s="1">
        <v>5.9</v>
      </c>
      <c r="F667" t="s">
        <v>23</v>
      </c>
      <c r="G667" s="2" t="s">
        <v>14</v>
      </c>
      <c r="H667" s="2" t="s">
        <v>14</v>
      </c>
      <c r="I667" t="s">
        <v>15</v>
      </c>
      <c r="J667">
        <v>73.599999999999994</v>
      </c>
      <c r="K667" s="1">
        <v>91.7</v>
      </c>
      <c r="L667" t="s">
        <v>16</v>
      </c>
    </row>
    <row r="668" spans="1:12" x14ac:dyDescent="0.35">
      <c r="A668">
        <v>667</v>
      </c>
      <c r="B668" t="s">
        <v>17</v>
      </c>
      <c r="C668" s="1">
        <v>4.2</v>
      </c>
      <c r="D668">
        <v>78.400000000000006</v>
      </c>
      <c r="E668" s="1">
        <v>6.5</v>
      </c>
      <c r="F668" t="s">
        <v>13</v>
      </c>
      <c r="G668" s="2" t="s">
        <v>14</v>
      </c>
      <c r="H668" s="2" t="s">
        <v>14</v>
      </c>
      <c r="I668" t="s">
        <v>15</v>
      </c>
      <c r="J668">
        <v>75.400000000000006</v>
      </c>
      <c r="K668" s="1">
        <v>92.2</v>
      </c>
      <c r="L668" t="s">
        <v>16</v>
      </c>
    </row>
    <row r="669" spans="1:12" x14ac:dyDescent="0.35">
      <c r="A669">
        <v>668</v>
      </c>
      <c r="B669" t="s">
        <v>17</v>
      </c>
      <c r="C669" s="1">
        <v>3.9</v>
      </c>
      <c r="D669">
        <v>82</v>
      </c>
      <c r="E669" s="1">
        <v>5.9</v>
      </c>
      <c r="F669" t="s">
        <v>13</v>
      </c>
      <c r="G669" s="2" t="s">
        <v>14</v>
      </c>
      <c r="H669" s="2" t="s">
        <v>15</v>
      </c>
      <c r="I669" t="s">
        <v>15</v>
      </c>
      <c r="J669">
        <v>68.7</v>
      </c>
      <c r="K669" s="1">
        <v>96.3</v>
      </c>
      <c r="L669" t="s">
        <v>16</v>
      </c>
    </row>
    <row r="670" spans="1:12" x14ac:dyDescent="0.35">
      <c r="A670">
        <v>669</v>
      </c>
      <c r="B670" t="s">
        <v>12</v>
      </c>
      <c r="C670" s="1">
        <v>2.7</v>
      </c>
      <c r="D670">
        <v>71.5</v>
      </c>
      <c r="E670" s="1">
        <v>8.9</v>
      </c>
      <c r="F670" t="s">
        <v>18</v>
      </c>
      <c r="G670" s="2" t="s">
        <v>14</v>
      </c>
      <c r="H670" s="2" t="s">
        <v>15</v>
      </c>
      <c r="I670" t="s">
        <v>14</v>
      </c>
      <c r="J670">
        <v>91.3</v>
      </c>
      <c r="K670" s="1">
        <v>97.6</v>
      </c>
      <c r="L670" t="s">
        <v>16</v>
      </c>
    </row>
    <row r="671" spans="1:12" x14ac:dyDescent="0.35">
      <c r="A671">
        <v>670</v>
      </c>
      <c r="B671" t="s">
        <v>12</v>
      </c>
      <c r="C671" s="1">
        <v>2.5</v>
      </c>
      <c r="D671">
        <v>76.8</v>
      </c>
      <c r="E671" s="1">
        <v>5.8</v>
      </c>
      <c r="F671" t="s">
        <v>23</v>
      </c>
      <c r="G671" s="2" t="s">
        <v>14</v>
      </c>
      <c r="H671" s="2" t="s">
        <v>15</v>
      </c>
      <c r="I671" t="s">
        <v>14</v>
      </c>
      <c r="J671">
        <v>52.2</v>
      </c>
      <c r="K671" s="1">
        <v>66.400000000000006</v>
      </c>
      <c r="L671" t="s">
        <v>21</v>
      </c>
    </row>
    <row r="672" spans="1:12" x14ac:dyDescent="0.35">
      <c r="A672">
        <v>671</v>
      </c>
      <c r="B672" t="s">
        <v>12</v>
      </c>
      <c r="C672" s="1">
        <v>3.5</v>
      </c>
      <c r="D672">
        <v>80.2</v>
      </c>
      <c r="E672" s="1">
        <v>6.1</v>
      </c>
      <c r="F672" t="s">
        <v>13</v>
      </c>
      <c r="G672" s="2" t="s">
        <v>14</v>
      </c>
      <c r="H672" s="2" t="s">
        <v>14</v>
      </c>
      <c r="I672" t="s">
        <v>15</v>
      </c>
      <c r="J672">
        <v>71.7</v>
      </c>
      <c r="K672" s="1">
        <v>60.8</v>
      </c>
      <c r="L672" t="s">
        <v>21</v>
      </c>
    </row>
    <row r="673" spans="1:12" x14ac:dyDescent="0.35">
      <c r="A673">
        <v>672</v>
      </c>
      <c r="B673" t="s">
        <v>17</v>
      </c>
      <c r="C673" s="1">
        <v>5.3</v>
      </c>
      <c r="D673">
        <v>93.7</v>
      </c>
      <c r="E673" s="1">
        <v>7</v>
      </c>
      <c r="F673" t="s">
        <v>18</v>
      </c>
      <c r="G673" s="2" t="s">
        <v>15</v>
      </c>
      <c r="H673" s="2" t="s">
        <v>14</v>
      </c>
      <c r="I673" t="s">
        <v>15</v>
      </c>
      <c r="J673">
        <v>70.8</v>
      </c>
      <c r="K673" s="1">
        <v>99.8</v>
      </c>
      <c r="L673" t="s">
        <v>16</v>
      </c>
    </row>
    <row r="674" spans="1:12" x14ac:dyDescent="0.35">
      <c r="A674">
        <v>673</v>
      </c>
      <c r="B674" t="s">
        <v>17</v>
      </c>
      <c r="C674" s="1">
        <v>4.3</v>
      </c>
      <c r="D674">
        <v>87.6</v>
      </c>
      <c r="E674" s="1">
        <v>5.4</v>
      </c>
      <c r="F674" t="s">
        <v>18</v>
      </c>
      <c r="G674" s="2" t="s">
        <v>14</v>
      </c>
      <c r="H674" s="2" t="s">
        <v>15</v>
      </c>
      <c r="I674" t="s">
        <v>14</v>
      </c>
      <c r="J674">
        <v>79.8</v>
      </c>
      <c r="K674" s="1">
        <v>85.2</v>
      </c>
      <c r="L674" t="s">
        <v>20</v>
      </c>
    </row>
    <row r="675" spans="1:12" x14ac:dyDescent="0.35">
      <c r="A675">
        <v>674</v>
      </c>
      <c r="B675" t="s">
        <v>17</v>
      </c>
      <c r="C675" s="1">
        <v>2.9</v>
      </c>
      <c r="D675">
        <v>86.9</v>
      </c>
      <c r="E675" s="1">
        <v>6.3</v>
      </c>
      <c r="F675" t="s">
        <v>23</v>
      </c>
      <c r="G675" s="2" t="s">
        <v>14</v>
      </c>
      <c r="H675" s="2" t="s">
        <v>15</v>
      </c>
      <c r="I675" t="s">
        <v>15</v>
      </c>
      <c r="J675">
        <v>59.9</v>
      </c>
      <c r="K675" s="1">
        <v>73.2</v>
      </c>
      <c r="L675" t="s">
        <v>22</v>
      </c>
    </row>
    <row r="676" spans="1:12" x14ac:dyDescent="0.35">
      <c r="A676">
        <v>675</v>
      </c>
      <c r="B676" t="s">
        <v>17</v>
      </c>
      <c r="C676" s="1">
        <v>4.7</v>
      </c>
      <c r="D676">
        <v>93.5</v>
      </c>
      <c r="E676" s="1">
        <v>7.2</v>
      </c>
      <c r="F676" t="s">
        <v>13</v>
      </c>
      <c r="G676" s="2" t="s">
        <v>14</v>
      </c>
      <c r="H676" s="2" t="s">
        <v>14</v>
      </c>
      <c r="I676" t="s">
        <v>15</v>
      </c>
      <c r="J676">
        <v>49.1</v>
      </c>
      <c r="K676" s="1">
        <v>83.8</v>
      </c>
      <c r="L676" t="s">
        <v>20</v>
      </c>
    </row>
    <row r="677" spans="1:12" x14ac:dyDescent="0.35">
      <c r="A677">
        <v>676</v>
      </c>
      <c r="B677" t="s">
        <v>12</v>
      </c>
      <c r="C677" s="1">
        <v>0.5</v>
      </c>
      <c r="D677">
        <v>83.6</v>
      </c>
      <c r="E677" s="1">
        <v>6.4</v>
      </c>
      <c r="F677" t="s">
        <v>18</v>
      </c>
      <c r="G677" s="2" t="s">
        <v>15</v>
      </c>
      <c r="H677" s="2" t="s">
        <v>14</v>
      </c>
      <c r="I677" t="s">
        <v>14</v>
      </c>
      <c r="J677">
        <v>71.900000000000006</v>
      </c>
      <c r="K677" s="1">
        <v>61.3</v>
      </c>
      <c r="L677" t="s">
        <v>21</v>
      </c>
    </row>
    <row r="678" spans="1:12" x14ac:dyDescent="0.35">
      <c r="A678">
        <v>677</v>
      </c>
      <c r="B678" t="s">
        <v>17</v>
      </c>
      <c r="C678" s="1">
        <v>5.2</v>
      </c>
      <c r="D678">
        <v>88.9</v>
      </c>
      <c r="E678" s="1">
        <v>6.7</v>
      </c>
      <c r="F678" t="s">
        <v>19</v>
      </c>
      <c r="G678" s="2" t="s">
        <v>15</v>
      </c>
      <c r="H678" s="2" t="s">
        <v>15</v>
      </c>
      <c r="I678" t="s">
        <v>14</v>
      </c>
      <c r="J678">
        <v>73.400000000000006</v>
      </c>
      <c r="K678" s="1">
        <v>90.6</v>
      </c>
      <c r="L678" t="s">
        <v>16</v>
      </c>
    </row>
    <row r="679" spans="1:12" x14ac:dyDescent="0.35">
      <c r="A679">
        <v>678</v>
      </c>
      <c r="B679" t="s">
        <v>17</v>
      </c>
      <c r="C679" s="1">
        <v>0.9</v>
      </c>
      <c r="D679">
        <v>84</v>
      </c>
      <c r="E679" s="1">
        <v>6.2</v>
      </c>
      <c r="F679" t="s">
        <v>23</v>
      </c>
      <c r="G679" s="2" t="s">
        <v>14</v>
      </c>
      <c r="H679" s="2" t="s">
        <v>14</v>
      </c>
      <c r="I679" t="s">
        <v>14</v>
      </c>
      <c r="J679">
        <v>87.9</v>
      </c>
      <c r="K679" s="1">
        <v>67.7</v>
      </c>
      <c r="L679" t="s">
        <v>21</v>
      </c>
    </row>
    <row r="680" spans="1:12" x14ac:dyDescent="0.35">
      <c r="A680">
        <v>679</v>
      </c>
      <c r="B680" t="s">
        <v>17</v>
      </c>
      <c r="C680" s="1">
        <v>3</v>
      </c>
      <c r="D680">
        <v>87.7</v>
      </c>
      <c r="E680" s="1">
        <v>5</v>
      </c>
      <c r="F680" t="s">
        <v>19</v>
      </c>
      <c r="G680" s="2" t="s">
        <v>15</v>
      </c>
      <c r="H680" s="2" t="s">
        <v>15</v>
      </c>
      <c r="I680" t="s">
        <v>15</v>
      </c>
      <c r="J680">
        <v>54.8</v>
      </c>
      <c r="K680" s="1">
        <v>63.6</v>
      </c>
      <c r="L680" t="s">
        <v>21</v>
      </c>
    </row>
    <row r="681" spans="1:12" x14ac:dyDescent="0.35">
      <c r="A681">
        <v>680</v>
      </c>
      <c r="B681" t="s">
        <v>17</v>
      </c>
      <c r="C681" s="1">
        <v>1.8</v>
      </c>
      <c r="D681">
        <v>79.2</v>
      </c>
      <c r="E681" s="1">
        <v>7.2</v>
      </c>
      <c r="F681" t="s">
        <v>13</v>
      </c>
      <c r="G681" s="2" t="s">
        <v>14</v>
      </c>
      <c r="H681" s="2" t="s">
        <v>14</v>
      </c>
      <c r="I681" t="s">
        <v>15</v>
      </c>
      <c r="J681">
        <v>83.9</v>
      </c>
      <c r="K681" s="1">
        <v>84.1</v>
      </c>
      <c r="L681" t="s">
        <v>20</v>
      </c>
    </row>
    <row r="682" spans="1:12" x14ac:dyDescent="0.35">
      <c r="A682">
        <v>681</v>
      </c>
      <c r="B682" t="s">
        <v>17</v>
      </c>
      <c r="C682" s="1">
        <v>1.6</v>
      </c>
      <c r="D682">
        <v>60.6</v>
      </c>
      <c r="E682" s="1">
        <v>8.9</v>
      </c>
      <c r="F682" t="s">
        <v>13</v>
      </c>
      <c r="G682" s="2" t="s">
        <v>14</v>
      </c>
      <c r="H682" s="2" t="s">
        <v>14</v>
      </c>
      <c r="I682" t="s">
        <v>15</v>
      </c>
      <c r="J682">
        <v>98.4</v>
      </c>
      <c r="K682" s="1">
        <v>86.2</v>
      </c>
      <c r="L682" t="s">
        <v>20</v>
      </c>
    </row>
    <row r="683" spans="1:12" x14ac:dyDescent="0.35">
      <c r="A683">
        <v>682</v>
      </c>
      <c r="B683" t="s">
        <v>12</v>
      </c>
      <c r="C683" s="1">
        <v>5.2</v>
      </c>
      <c r="D683">
        <v>83.7</v>
      </c>
      <c r="E683" s="1">
        <v>6.8</v>
      </c>
      <c r="F683" t="s">
        <v>24</v>
      </c>
      <c r="G683" s="2" t="s">
        <v>14</v>
      </c>
      <c r="H683" s="2" t="s">
        <v>15</v>
      </c>
      <c r="I683" t="s">
        <v>15</v>
      </c>
      <c r="J683">
        <v>65.5</v>
      </c>
      <c r="K683" s="1">
        <v>93.9</v>
      </c>
      <c r="L683" t="s">
        <v>16</v>
      </c>
    </row>
    <row r="684" spans="1:12" x14ac:dyDescent="0.35">
      <c r="A684">
        <v>683</v>
      </c>
      <c r="B684" t="s">
        <v>12</v>
      </c>
      <c r="C684" s="1">
        <v>2.8</v>
      </c>
      <c r="D684">
        <v>99.2</v>
      </c>
      <c r="E684" s="1">
        <v>7.1</v>
      </c>
      <c r="F684" t="s">
        <v>13</v>
      </c>
      <c r="G684" s="2" t="s">
        <v>14</v>
      </c>
      <c r="H684" s="2" t="s">
        <v>14</v>
      </c>
      <c r="I684" t="s">
        <v>14</v>
      </c>
      <c r="J684">
        <v>54.5</v>
      </c>
      <c r="K684" s="1">
        <v>73.900000000000006</v>
      </c>
      <c r="L684" t="s">
        <v>22</v>
      </c>
    </row>
    <row r="685" spans="1:12" x14ac:dyDescent="0.35">
      <c r="A685">
        <v>684</v>
      </c>
      <c r="B685" t="s">
        <v>17</v>
      </c>
      <c r="C685" s="1">
        <v>4</v>
      </c>
      <c r="D685">
        <v>94.3</v>
      </c>
      <c r="E685" s="1">
        <v>7.6</v>
      </c>
      <c r="F685" t="s">
        <v>23</v>
      </c>
      <c r="G685" s="2" t="s">
        <v>15</v>
      </c>
      <c r="H685" s="2" t="s">
        <v>14</v>
      </c>
      <c r="I685" t="s">
        <v>15</v>
      </c>
      <c r="J685">
        <v>65.099999999999994</v>
      </c>
      <c r="K685" s="1">
        <v>79.3</v>
      </c>
      <c r="L685" t="s">
        <v>22</v>
      </c>
    </row>
    <row r="686" spans="1:12" x14ac:dyDescent="0.35">
      <c r="A686">
        <v>685</v>
      </c>
      <c r="B686" t="s">
        <v>12</v>
      </c>
      <c r="C686" s="1">
        <v>3.4</v>
      </c>
      <c r="D686">
        <v>94.7</v>
      </c>
      <c r="E686" s="1">
        <v>5.3</v>
      </c>
      <c r="F686" t="s">
        <v>18</v>
      </c>
      <c r="G686" s="2" t="s">
        <v>14</v>
      </c>
      <c r="H686" s="2" t="s">
        <v>14</v>
      </c>
      <c r="I686" t="s">
        <v>15</v>
      </c>
      <c r="J686">
        <v>70.2</v>
      </c>
      <c r="K686" s="1">
        <v>83.8</v>
      </c>
      <c r="L686" t="s">
        <v>20</v>
      </c>
    </row>
    <row r="687" spans="1:12" x14ac:dyDescent="0.35">
      <c r="A687">
        <v>686</v>
      </c>
      <c r="B687" t="s">
        <v>17</v>
      </c>
      <c r="C687" s="1">
        <v>4.2</v>
      </c>
      <c r="D687">
        <v>97.4</v>
      </c>
      <c r="E687" s="1">
        <v>8.8000000000000007</v>
      </c>
      <c r="F687" t="s">
        <v>13</v>
      </c>
      <c r="G687" s="2" t="s">
        <v>15</v>
      </c>
      <c r="H687" s="2" t="s">
        <v>14</v>
      </c>
      <c r="I687" t="s">
        <v>14</v>
      </c>
      <c r="J687">
        <v>76.8</v>
      </c>
      <c r="K687" s="1">
        <v>91.7</v>
      </c>
      <c r="L687" t="s">
        <v>16</v>
      </c>
    </row>
    <row r="688" spans="1:12" x14ac:dyDescent="0.35">
      <c r="A688">
        <v>687</v>
      </c>
      <c r="B688" t="s">
        <v>17</v>
      </c>
      <c r="C688" s="1">
        <v>3.6</v>
      </c>
      <c r="D688">
        <v>85.9</v>
      </c>
      <c r="E688" s="1">
        <v>7</v>
      </c>
      <c r="F688" t="s">
        <v>18</v>
      </c>
      <c r="G688" s="2" t="s">
        <v>14</v>
      </c>
      <c r="H688" s="2" t="s">
        <v>15</v>
      </c>
      <c r="I688" t="s">
        <v>15</v>
      </c>
      <c r="J688">
        <v>62.9</v>
      </c>
      <c r="K688" s="1">
        <v>91.7</v>
      </c>
      <c r="L688" t="s">
        <v>16</v>
      </c>
    </row>
    <row r="689" spans="1:12" x14ac:dyDescent="0.35">
      <c r="A689">
        <v>688</v>
      </c>
      <c r="B689" t="s">
        <v>12</v>
      </c>
      <c r="C689" s="1">
        <v>1.6</v>
      </c>
      <c r="D689">
        <v>87</v>
      </c>
      <c r="E689" s="1">
        <v>8.8000000000000007</v>
      </c>
      <c r="F689" t="s">
        <v>18</v>
      </c>
      <c r="G689" s="2" t="s">
        <v>14</v>
      </c>
      <c r="H689" s="2" t="s">
        <v>15</v>
      </c>
      <c r="I689" t="s">
        <v>15</v>
      </c>
      <c r="J689">
        <v>88.7</v>
      </c>
      <c r="K689" s="1">
        <v>74.400000000000006</v>
      </c>
      <c r="L689" t="s">
        <v>22</v>
      </c>
    </row>
    <row r="690" spans="1:12" x14ac:dyDescent="0.35">
      <c r="A690">
        <v>689</v>
      </c>
      <c r="B690" t="s">
        <v>12</v>
      </c>
      <c r="C690" s="1">
        <v>5</v>
      </c>
      <c r="D690">
        <v>78.8</v>
      </c>
      <c r="E690" s="1">
        <v>5.9</v>
      </c>
      <c r="F690" t="s">
        <v>18</v>
      </c>
      <c r="G690" s="2" t="s">
        <v>14</v>
      </c>
      <c r="H690" s="2" t="s">
        <v>15</v>
      </c>
      <c r="I690" t="s">
        <v>15</v>
      </c>
      <c r="J690">
        <v>56.6</v>
      </c>
      <c r="K690" s="1">
        <v>81.5</v>
      </c>
      <c r="L690" t="s">
        <v>20</v>
      </c>
    </row>
    <row r="691" spans="1:12" x14ac:dyDescent="0.35">
      <c r="A691">
        <v>690</v>
      </c>
      <c r="B691" t="s">
        <v>17</v>
      </c>
      <c r="C691" s="1">
        <v>2.8</v>
      </c>
      <c r="D691">
        <v>81.8</v>
      </c>
      <c r="E691" s="1">
        <v>9</v>
      </c>
      <c r="F691" t="s">
        <v>18</v>
      </c>
      <c r="G691" s="2" t="s">
        <v>14</v>
      </c>
      <c r="H691" s="2" t="s">
        <v>14</v>
      </c>
      <c r="I691" t="s">
        <v>15</v>
      </c>
      <c r="J691">
        <v>49.1</v>
      </c>
      <c r="K691" s="1">
        <v>67.7</v>
      </c>
      <c r="L691" t="s">
        <v>21</v>
      </c>
    </row>
    <row r="692" spans="1:12" x14ac:dyDescent="0.35">
      <c r="A692">
        <v>691</v>
      </c>
      <c r="B692" t="s">
        <v>17</v>
      </c>
      <c r="C692" s="1">
        <v>1.2</v>
      </c>
      <c r="D692">
        <v>91.2</v>
      </c>
      <c r="E692" s="1">
        <v>7.7</v>
      </c>
      <c r="F692" t="s">
        <v>19</v>
      </c>
      <c r="G692" s="2" t="s">
        <v>14</v>
      </c>
      <c r="H692" s="2" t="s">
        <v>14</v>
      </c>
      <c r="I692" t="s">
        <v>14</v>
      </c>
      <c r="J692">
        <v>83.3</v>
      </c>
      <c r="K692" s="1">
        <v>71</v>
      </c>
      <c r="L692" t="s">
        <v>22</v>
      </c>
    </row>
    <row r="693" spans="1:12" x14ac:dyDescent="0.35">
      <c r="A693">
        <v>692</v>
      </c>
      <c r="B693" t="s">
        <v>17</v>
      </c>
      <c r="C693" s="1">
        <v>2.9</v>
      </c>
      <c r="D693">
        <v>97</v>
      </c>
      <c r="E693" s="1">
        <v>7.5</v>
      </c>
      <c r="F693" t="s">
        <v>18</v>
      </c>
      <c r="G693" s="2" t="s">
        <v>14</v>
      </c>
      <c r="H693" s="2" t="s">
        <v>14</v>
      </c>
      <c r="I693" t="s">
        <v>14</v>
      </c>
      <c r="J693">
        <v>42.7</v>
      </c>
      <c r="K693" s="1">
        <v>79.900000000000006</v>
      </c>
      <c r="L693" t="s">
        <v>22</v>
      </c>
    </row>
    <row r="694" spans="1:12" x14ac:dyDescent="0.35">
      <c r="A694">
        <v>693</v>
      </c>
      <c r="B694" t="s">
        <v>12</v>
      </c>
      <c r="C694" s="1">
        <v>5.8</v>
      </c>
      <c r="D694">
        <v>83.6</v>
      </c>
      <c r="E694" s="1">
        <v>7.1</v>
      </c>
      <c r="F694" t="s">
        <v>23</v>
      </c>
      <c r="G694" s="2" t="s">
        <v>15</v>
      </c>
      <c r="H694" s="2" t="s">
        <v>15</v>
      </c>
      <c r="I694" t="s">
        <v>15</v>
      </c>
      <c r="J694">
        <v>67.599999999999994</v>
      </c>
      <c r="K694" s="1">
        <v>92.2</v>
      </c>
      <c r="L694" t="s">
        <v>16</v>
      </c>
    </row>
    <row r="695" spans="1:12" x14ac:dyDescent="0.35">
      <c r="A695">
        <v>694</v>
      </c>
      <c r="B695" t="s">
        <v>17</v>
      </c>
      <c r="C695" s="1">
        <v>4.8</v>
      </c>
      <c r="D695">
        <v>80.5</v>
      </c>
      <c r="E695" s="1">
        <v>6.5</v>
      </c>
      <c r="F695" t="s">
        <v>23</v>
      </c>
      <c r="G695" s="2" t="s">
        <v>14</v>
      </c>
      <c r="H695" s="2" t="s">
        <v>15</v>
      </c>
      <c r="I695" t="s">
        <v>14</v>
      </c>
      <c r="J695">
        <v>100</v>
      </c>
      <c r="K695" s="1">
        <v>100</v>
      </c>
      <c r="L695" t="s">
        <v>16</v>
      </c>
    </row>
    <row r="696" spans="1:12" x14ac:dyDescent="0.35">
      <c r="A696">
        <v>695</v>
      </c>
      <c r="B696" t="s">
        <v>17</v>
      </c>
      <c r="C696" s="1">
        <v>3</v>
      </c>
      <c r="D696">
        <v>85</v>
      </c>
      <c r="E696" s="1">
        <v>8.1999999999999993</v>
      </c>
      <c r="F696" t="s">
        <v>13</v>
      </c>
      <c r="G696" s="2" t="s">
        <v>14</v>
      </c>
      <c r="H696" s="2" t="s">
        <v>15</v>
      </c>
      <c r="I696" t="s">
        <v>15</v>
      </c>
      <c r="J696">
        <v>69.900000000000006</v>
      </c>
      <c r="K696" s="1">
        <v>89.6</v>
      </c>
      <c r="L696" t="s">
        <v>20</v>
      </c>
    </row>
    <row r="697" spans="1:12" x14ac:dyDescent="0.35">
      <c r="A697">
        <v>696</v>
      </c>
      <c r="B697" t="s">
        <v>17</v>
      </c>
      <c r="C697" s="1">
        <v>3</v>
      </c>
      <c r="D697">
        <v>91</v>
      </c>
      <c r="E697" s="1">
        <v>7</v>
      </c>
      <c r="F697" t="s">
        <v>18</v>
      </c>
      <c r="G697" s="2" t="s">
        <v>14</v>
      </c>
      <c r="H697" s="2" t="s">
        <v>14</v>
      </c>
      <c r="I697" t="s">
        <v>15</v>
      </c>
      <c r="J697">
        <v>56.6</v>
      </c>
      <c r="K697" s="1">
        <v>77.5</v>
      </c>
      <c r="L697" t="s">
        <v>22</v>
      </c>
    </row>
    <row r="698" spans="1:12" x14ac:dyDescent="0.35">
      <c r="A698">
        <v>697</v>
      </c>
      <c r="B698" t="s">
        <v>12</v>
      </c>
      <c r="C698" s="1">
        <v>3</v>
      </c>
      <c r="D698">
        <v>70.599999999999994</v>
      </c>
      <c r="E698" s="1">
        <v>4.4000000000000004</v>
      </c>
      <c r="F698" t="s">
        <v>23</v>
      </c>
      <c r="G698" s="2" t="s">
        <v>14</v>
      </c>
      <c r="H698" s="2" t="s">
        <v>14</v>
      </c>
      <c r="I698" t="s">
        <v>15</v>
      </c>
      <c r="J698">
        <v>69.3</v>
      </c>
      <c r="K698" s="1">
        <v>72.599999999999994</v>
      </c>
      <c r="L698" t="s">
        <v>22</v>
      </c>
    </row>
    <row r="699" spans="1:12" x14ac:dyDescent="0.35">
      <c r="A699">
        <v>698</v>
      </c>
      <c r="B699" t="s">
        <v>17</v>
      </c>
      <c r="C699" s="1">
        <v>6.6</v>
      </c>
      <c r="D699">
        <v>62</v>
      </c>
      <c r="E699" s="1">
        <v>5.5</v>
      </c>
      <c r="F699" t="s">
        <v>13</v>
      </c>
      <c r="G699" s="2" t="s">
        <v>15</v>
      </c>
      <c r="H699" s="2" t="s">
        <v>14</v>
      </c>
      <c r="I699" t="s">
        <v>15</v>
      </c>
      <c r="J699">
        <v>69.400000000000006</v>
      </c>
      <c r="K699" s="1">
        <v>97.9</v>
      </c>
      <c r="L699" t="s">
        <v>16</v>
      </c>
    </row>
    <row r="700" spans="1:12" x14ac:dyDescent="0.35">
      <c r="A700">
        <v>699</v>
      </c>
      <c r="B700" t="s">
        <v>17</v>
      </c>
      <c r="C700" s="1">
        <v>4.0999999999999996</v>
      </c>
      <c r="D700">
        <v>79.5</v>
      </c>
      <c r="E700" s="1">
        <v>6.6</v>
      </c>
      <c r="F700" t="s">
        <v>23</v>
      </c>
      <c r="G700" s="2" t="s">
        <v>14</v>
      </c>
      <c r="H700" s="2" t="s">
        <v>14</v>
      </c>
      <c r="I700" t="s">
        <v>15</v>
      </c>
      <c r="J700">
        <v>71.900000000000006</v>
      </c>
      <c r="K700" s="1">
        <v>85.5</v>
      </c>
      <c r="L700" t="s">
        <v>20</v>
      </c>
    </row>
    <row r="701" spans="1:12" x14ac:dyDescent="0.35">
      <c r="A701">
        <v>700</v>
      </c>
      <c r="B701" t="s">
        <v>12</v>
      </c>
      <c r="C701" s="1">
        <v>4.0999999999999996</v>
      </c>
      <c r="D701">
        <v>72.8</v>
      </c>
      <c r="E701" s="1">
        <v>7.2</v>
      </c>
      <c r="F701" t="s">
        <v>23</v>
      </c>
      <c r="G701" s="2" t="s">
        <v>14</v>
      </c>
      <c r="H701" s="2" t="s">
        <v>14</v>
      </c>
      <c r="I701" t="s">
        <v>15</v>
      </c>
      <c r="J701">
        <v>77.900000000000006</v>
      </c>
      <c r="K701" s="1">
        <v>92.1</v>
      </c>
      <c r="L701" t="s">
        <v>16</v>
      </c>
    </row>
    <row r="702" spans="1:12" x14ac:dyDescent="0.35">
      <c r="A702">
        <v>701</v>
      </c>
      <c r="B702" t="s">
        <v>17</v>
      </c>
      <c r="C702" s="1">
        <v>5</v>
      </c>
      <c r="D702">
        <v>79.900000000000006</v>
      </c>
      <c r="E702" s="1">
        <v>6.7</v>
      </c>
      <c r="F702" t="s">
        <v>19</v>
      </c>
      <c r="G702" s="2" t="s">
        <v>14</v>
      </c>
      <c r="H702" s="2" t="s">
        <v>15</v>
      </c>
      <c r="I702" t="s">
        <v>15</v>
      </c>
      <c r="J702">
        <v>57.5</v>
      </c>
      <c r="K702" s="1">
        <v>84.5</v>
      </c>
      <c r="L702" t="s">
        <v>20</v>
      </c>
    </row>
    <row r="703" spans="1:12" x14ac:dyDescent="0.35">
      <c r="A703">
        <v>702</v>
      </c>
      <c r="B703" t="s">
        <v>17</v>
      </c>
      <c r="C703" s="1">
        <v>3.9</v>
      </c>
      <c r="D703">
        <v>83.5</v>
      </c>
      <c r="E703" s="1">
        <v>8.3000000000000007</v>
      </c>
      <c r="F703" t="s">
        <v>13</v>
      </c>
      <c r="G703" s="2" t="s">
        <v>14</v>
      </c>
      <c r="H703" s="2" t="s">
        <v>14</v>
      </c>
      <c r="I703" t="s">
        <v>14</v>
      </c>
      <c r="J703">
        <v>90.3</v>
      </c>
      <c r="K703" s="1">
        <v>82.8</v>
      </c>
      <c r="L703" t="s">
        <v>20</v>
      </c>
    </row>
    <row r="704" spans="1:12" x14ac:dyDescent="0.35">
      <c r="A704">
        <v>703</v>
      </c>
      <c r="B704" t="s">
        <v>12</v>
      </c>
      <c r="C704" s="1">
        <v>3.1</v>
      </c>
      <c r="D704">
        <v>80.5</v>
      </c>
      <c r="E704" s="1">
        <v>4.5</v>
      </c>
      <c r="F704" t="s">
        <v>18</v>
      </c>
      <c r="G704" s="2" t="s">
        <v>14</v>
      </c>
      <c r="H704" s="2" t="s">
        <v>14</v>
      </c>
      <c r="I704" t="s">
        <v>14</v>
      </c>
      <c r="J704">
        <v>72.900000000000006</v>
      </c>
      <c r="K704" s="1">
        <v>65.400000000000006</v>
      </c>
      <c r="L704" t="s">
        <v>21</v>
      </c>
    </row>
    <row r="705" spans="1:12" x14ac:dyDescent="0.35">
      <c r="A705">
        <v>704</v>
      </c>
      <c r="B705" t="s">
        <v>17</v>
      </c>
      <c r="C705" s="1">
        <v>3.2</v>
      </c>
      <c r="D705">
        <v>99.5</v>
      </c>
      <c r="E705" s="1">
        <v>7</v>
      </c>
      <c r="F705" t="s">
        <v>13</v>
      </c>
      <c r="G705" s="2" t="s">
        <v>14</v>
      </c>
      <c r="H705" s="2" t="s">
        <v>14</v>
      </c>
      <c r="I705" t="s">
        <v>15</v>
      </c>
      <c r="J705">
        <v>78.7</v>
      </c>
      <c r="K705" s="1">
        <v>89.6</v>
      </c>
      <c r="L705" t="s">
        <v>20</v>
      </c>
    </row>
    <row r="706" spans="1:12" x14ac:dyDescent="0.35">
      <c r="A706">
        <v>705</v>
      </c>
      <c r="B706" t="s">
        <v>12</v>
      </c>
      <c r="C706" s="1">
        <v>3.4</v>
      </c>
      <c r="D706">
        <v>88.3</v>
      </c>
      <c r="E706" s="1">
        <v>4.5999999999999996</v>
      </c>
      <c r="F706" t="s">
        <v>18</v>
      </c>
      <c r="G706" s="2" t="s">
        <v>14</v>
      </c>
      <c r="H706" s="2" t="s">
        <v>15</v>
      </c>
      <c r="I706" t="s">
        <v>14</v>
      </c>
      <c r="J706">
        <v>62.5</v>
      </c>
      <c r="K706" s="1">
        <v>83.1</v>
      </c>
      <c r="L706" t="s">
        <v>20</v>
      </c>
    </row>
    <row r="707" spans="1:12" x14ac:dyDescent="0.35">
      <c r="A707">
        <v>706</v>
      </c>
      <c r="B707" t="s">
        <v>12</v>
      </c>
      <c r="C707" s="1">
        <v>3.4</v>
      </c>
      <c r="D707">
        <v>88</v>
      </c>
      <c r="E707" s="1">
        <v>7.7</v>
      </c>
      <c r="F707" t="s">
        <v>24</v>
      </c>
      <c r="G707" s="2" t="s">
        <v>14</v>
      </c>
      <c r="H707" s="2" t="s">
        <v>15</v>
      </c>
      <c r="I707" t="s">
        <v>14</v>
      </c>
      <c r="J707">
        <v>85.4</v>
      </c>
      <c r="K707" s="1">
        <v>94.2</v>
      </c>
      <c r="L707" t="s">
        <v>16</v>
      </c>
    </row>
    <row r="708" spans="1:12" x14ac:dyDescent="0.35">
      <c r="A708">
        <v>707</v>
      </c>
      <c r="B708" t="s">
        <v>17</v>
      </c>
      <c r="C708" s="1">
        <v>4.5999999999999996</v>
      </c>
      <c r="D708">
        <v>91.2</v>
      </c>
      <c r="E708" s="1">
        <v>6.7</v>
      </c>
      <c r="F708" t="s">
        <v>18</v>
      </c>
      <c r="G708" s="2" t="s">
        <v>14</v>
      </c>
      <c r="H708" s="2" t="s">
        <v>15</v>
      </c>
      <c r="I708" t="s">
        <v>14</v>
      </c>
      <c r="J708">
        <v>66.900000000000006</v>
      </c>
      <c r="K708" s="1">
        <v>92.9</v>
      </c>
      <c r="L708" t="s">
        <v>16</v>
      </c>
    </row>
    <row r="709" spans="1:12" x14ac:dyDescent="0.35">
      <c r="A709">
        <v>708</v>
      </c>
      <c r="B709" t="s">
        <v>17</v>
      </c>
      <c r="C709" s="1">
        <v>3.6</v>
      </c>
      <c r="D709">
        <v>73.599999999999994</v>
      </c>
      <c r="E709" s="1">
        <v>7.3</v>
      </c>
      <c r="F709" t="s">
        <v>18</v>
      </c>
      <c r="G709" s="2" t="s">
        <v>14</v>
      </c>
      <c r="H709" s="2" t="s">
        <v>15</v>
      </c>
      <c r="I709" t="s">
        <v>15</v>
      </c>
      <c r="J709">
        <v>73.3</v>
      </c>
      <c r="K709" s="1">
        <v>77.099999999999994</v>
      </c>
      <c r="L709" t="s">
        <v>22</v>
      </c>
    </row>
    <row r="710" spans="1:12" x14ac:dyDescent="0.35">
      <c r="A710">
        <v>709</v>
      </c>
      <c r="B710" t="s">
        <v>17</v>
      </c>
      <c r="C710" s="1">
        <v>4.5999999999999996</v>
      </c>
      <c r="D710">
        <v>95.4</v>
      </c>
      <c r="E710" s="1">
        <v>5.8</v>
      </c>
      <c r="F710" t="s">
        <v>23</v>
      </c>
      <c r="G710" s="2" t="s">
        <v>14</v>
      </c>
      <c r="H710" s="2" t="s">
        <v>14</v>
      </c>
      <c r="I710" t="s">
        <v>15</v>
      </c>
      <c r="J710">
        <v>58.8</v>
      </c>
      <c r="K710" s="1">
        <v>98.3</v>
      </c>
      <c r="L710" t="s">
        <v>16</v>
      </c>
    </row>
    <row r="711" spans="1:12" x14ac:dyDescent="0.35">
      <c r="A711">
        <v>710</v>
      </c>
      <c r="B711" t="s">
        <v>17</v>
      </c>
      <c r="C711" s="1">
        <v>3.4</v>
      </c>
      <c r="D711">
        <v>84.2</v>
      </c>
      <c r="E711" s="1">
        <v>8.3000000000000007</v>
      </c>
      <c r="F711" t="s">
        <v>13</v>
      </c>
      <c r="G711" s="2" t="s">
        <v>14</v>
      </c>
      <c r="H711" s="2" t="s">
        <v>15</v>
      </c>
      <c r="I711" t="s">
        <v>14</v>
      </c>
      <c r="J711">
        <v>58</v>
      </c>
      <c r="K711" s="1">
        <v>72.099999999999994</v>
      </c>
      <c r="L711" t="s">
        <v>22</v>
      </c>
    </row>
    <row r="712" spans="1:12" x14ac:dyDescent="0.35">
      <c r="A712">
        <v>711</v>
      </c>
      <c r="B712" t="s">
        <v>12</v>
      </c>
      <c r="C712" s="1">
        <v>3.6</v>
      </c>
      <c r="D712">
        <v>91.7</v>
      </c>
      <c r="E712" s="1">
        <v>8.1</v>
      </c>
      <c r="F712" t="s">
        <v>13</v>
      </c>
      <c r="G712" s="2" t="s">
        <v>14</v>
      </c>
      <c r="H712" s="2" t="s">
        <v>14</v>
      </c>
      <c r="I712" t="s">
        <v>15</v>
      </c>
      <c r="J712">
        <v>78.3</v>
      </c>
      <c r="K712" s="1">
        <v>94.6</v>
      </c>
      <c r="L712" t="s">
        <v>16</v>
      </c>
    </row>
    <row r="713" spans="1:12" x14ac:dyDescent="0.35">
      <c r="A713">
        <v>712</v>
      </c>
      <c r="B713" t="s">
        <v>17</v>
      </c>
      <c r="C713" s="1">
        <v>0.5</v>
      </c>
      <c r="D713">
        <v>74.3</v>
      </c>
      <c r="E713" s="1">
        <v>7.5</v>
      </c>
      <c r="F713" t="s">
        <v>13</v>
      </c>
      <c r="G713" s="2" t="s">
        <v>14</v>
      </c>
      <c r="H713" s="2" t="s">
        <v>14</v>
      </c>
      <c r="I713" t="s">
        <v>15</v>
      </c>
      <c r="J713">
        <v>64.7</v>
      </c>
      <c r="K713" s="1">
        <v>67.099999999999994</v>
      </c>
      <c r="L713" t="s">
        <v>21</v>
      </c>
    </row>
    <row r="714" spans="1:12" x14ac:dyDescent="0.35">
      <c r="A714">
        <v>713</v>
      </c>
      <c r="B714" t="s">
        <v>12</v>
      </c>
      <c r="C714" s="1">
        <v>4.9000000000000004</v>
      </c>
      <c r="D714">
        <v>69.5</v>
      </c>
      <c r="E714" s="1">
        <v>6.6</v>
      </c>
      <c r="F714" t="s">
        <v>24</v>
      </c>
      <c r="G714" s="2" t="s">
        <v>15</v>
      </c>
      <c r="H714" s="2" t="s">
        <v>15</v>
      </c>
      <c r="I714" t="s">
        <v>14</v>
      </c>
      <c r="J714">
        <v>59.8</v>
      </c>
      <c r="K714" s="1">
        <v>72.2</v>
      </c>
      <c r="L714" t="s">
        <v>22</v>
      </c>
    </row>
    <row r="715" spans="1:12" x14ac:dyDescent="0.35">
      <c r="A715">
        <v>714</v>
      </c>
      <c r="B715" t="s">
        <v>17</v>
      </c>
      <c r="C715" s="1">
        <v>4</v>
      </c>
      <c r="D715">
        <v>93.2</v>
      </c>
      <c r="E715" s="1">
        <v>7.5</v>
      </c>
      <c r="F715" t="s">
        <v>18</v>
      </c>
      <c r="G715" s="2" t="s">
        <v>14</v>
      </c>
      <c r="H715" s="2" t="s">
        <v>15</v>
      </c>
      <c r="I715" t="s">
        <v>15</v>
      </c>
      <c r="J715">
        <v>62.3</v>
      </c>
      <c r="K715" s="1">
        <v>95.6</v>
      </c>
      <c r="L715" t="s">
        <v>16</v>
      </c>
    </row>
    <row r="716" spans="1:12" x14ac:dyDescent="0.35">
      <c r="A716">
        <v>715</v>
      </c>
      <c r="B716" t="s">
        <v>17</v>
      </c>
      <c r="C716" s="1">
        <v>5</v>
      </c>
      <c r="D716">
        <v>88.8</v>
      </c>
      <c r="E716" s="1">
        <v>6</v>
      </c>
      <c r="F716" t="s">
        <v>24</v>
      </c>
      <c r="G716" s="2" t="s">
        <v>14</v>
      </c>
      <c r="H716" s="2" t="s">
        <v>14</v>
      </c>
      <c r="I716" t="s">
        <v>15</v>
      </c>
      <c r="J716">
        <v>78.400000000000006</v>
      </c>
      <c r="K716" s="1">
        <v>91.9</v>
      </c>
      <c r="L716" t="s">
        <v>16</v>
      </c>
    </row>
    <row r="717" spans="1:12" x14ac:dyDescent="0.35">
      <c r="A717">
        <v>716</v>
      </c>
      <c r="B717" t="s">
        <v>17</v>
      </c>
      <c r="C717" s="1">
        <v>0.5</v>
      </c>
      <c r="D717">
        <v>76</v>
      </c>
      <c r="E717" s="1">
        <v>7.8</v>
      </c>
      <c r="F717" t="s">
        <v>18</v>
      </c>
      <c r="G717" s="2" t="s">
        <v>15</v>
      </c>
      <c r="H717" s="2" t="s">
        <v>14</v>
      </c>
      <c r="I717" t="s">
        <v>15</v>
      </c>
      <c r="J717">
        <v>62.5</v>
      </c>
      <c r="K717" s="1">
        <v>54.1</v>
      </c>
      <c r="L717" t="s">
        <v>25</v>
      </c>
    </row>
    <row r="718" spans="1:12" x14ac:dyDescent="0.35">
      <c r="A718">
        <v>717</v>
      </c>
      <c r="B718" t="s">
        <v>12</v>
      </c>
      <c r="C718" s="1">
        <v>6.6</v>
      </c>
      <c r="D718">
        <v>76.3</v>
      </c>
      <c r="E718" s="1">
        <v>8.8000000000000007</v>
      </c>
      <c r="F718" t="s">
        <v>23</v>
      </c>
      <c r="G718" s="2" t="s">
        <v>14</v>
      </c>
      <c r="H718" s="2" t="s">
        <v>14</v>
      </c>
      <c r="I718" t="s">
        <v>15</v>
      </c>
      <c r="J718">
        <v>68.599999999999994</v>
      </c>
      <c r="K718" s="1">
        <v>98.5</v>
      </c>
      <c r="L718" t="s">
        <v>16</v>
      </c>
    </row>
    <row r="719" spans="1:12" x14ac:dyDescent="0.35">
      <c r="A719">
        <v>718</v>
      </c>
      <c r="B719" t="s">
        <v>17</v>
      </c>
      <c r="C719" s="1">
        <v>3.3</v>
      </c>
      <c r="D719">
        <v>96.3</v>
      </c>
      <c r="E719" s="1">
        <v>8.1</v>
      </c>
      <c r="F719" t="s">
        <v>23</v>
      </c>
      <c r="G719" s="2" t="s">
        <v>14</v>
      </c>
      <c r="H719" s="2" t="s">
        <v>14</v>
      </c>
      <c r="I719" t="s">
        <v>14</v>
      </c>
      <c r="J719">
        <v>70.2</v>
      </c>
      <c r="K719" s="1">
        <v>85</v>
      </c>
      <c r="L719" t="s">
        <v>20</v>
      </c>
    </row>
    <row r="720" spans="1:12" x14ac:dyDescent="0.35">
      <c r="A720">
        <v>719</v>
      </c>
      <c r="B720" t="s">
        <v>17</v>
      </c>
      <c r="C720" s="1">
        <v>5.2</v>
      </c>
      <c r="D720">
        <v>73.099999999999994</v>
      </c>
      <c r="E720" s="1">
        <v>5.9</v>
      </c>
      <c r="F720" t="s">
        <v>18</v>
      </c>
      <c r="G720" s="2" t="s">
        <v>14</v>
      </c>
      <c r="H720" s="2" t="s">
        <v>14</v>
      </c>
      <c r="I720" t="s">
        <v>15</v>
      </c>
      <c r="J720">
        <v>47</v>
      </c>
      <c r="K720" s="1">
        <v>99.1</v>
      </c>
      <c r="L720" t="s">
        <v>16</v>
      </c>
    </row>
    <row r="721" spans="1:12" x14ac:dyDescent="0.35">
      <c r="A721">
        <v>720</v>
      </c>
      <c r="B721" t="s">
        <v>17</v>
      </c>
      <c r="C721" s="1">
        <v>1.9</v>
      </c>
      <c r="D721">
        <v>100</v>
      </c>
      <c r="E721" s="1">
        <v>7.2</v>
      </c>
      <c r="F721" t="s">
        <v>13</v>
      </c>
      <c r="G721" s="2" t="s">
        <v>14</v>
      </c>
      <c r="H721" s="2" t="s">
        <v>14</v>
      </c>
      <c r="I721" t="s">
        <v>14</v>
      </c>
      <c r="J721">
        <v>52.3</v>
      </c>
      <c r="K721" s="1">
        <v>78.2</v>
      </c>
      <c r="L721" t="s">
        <v>22</v>
      </c>
    </row>
    <row r="722" spans="1:12" x14ac:dyDescent="0.35">
      <c r="A722">
        <v>721</v>
      </c>
      <c r="B722" t="s">
        <v>17</v>
      </c>
      <c r="C722" s="1">
        <v>4.4000000000000004</v>
      </c>
      <c r="D722">
        <v>76</v>
      </c>
      <c r="E722" s="1">
        <v>5.2</v>
      </c>
      <c r="F722" t="s">
        <v>18</v>
      </c>
      <c r="G722" s="2" t="s">
        <v>14</v>
      </c>
      <c r="H722" s="2" t="s">
        <v>14</v>
      </c>
      <c r="I722" t="s">
        <v>15</v>
      </c>
      <c r="J722">
        <v>74</v>
      </c>
      <c r="K722" s="1">
        <v>83.8</v>
      </c>
      <c r="L722" t="s">
        <v>20</v>
      </c>
    </row>
    <row r="723" spans="1:12" x14ac:dyDescent="0.35">
      <c r="A723">
        <v>722</v>
      </c>
      <c r="B723" t="s">
        <v>12</v>
      </c>
      <c r="C723" s="1">
        <v>1.9</v>
      </c>
      <c r="D723">
        <v>91.4</v>
      </c>
      <c r="E723" s="1">
        <v>7.5</v>
      </c>
      <c r="F723" t="s">
        <v>23</v>
      </c>
      <c r="G723" s="2" t="s">
        <v>14</v>
      </c>
      <c r="H723" s="2" t="s">
        <v>15</v>
      </c>
      <c r="I723" t="s">
        <v>15</v>
      </c>
      <c r="J723">
        <v>61.2</v>
      </c>
      <c r="K723" s="1">
        <v>70.7</v>
      </c>
      <c r="L723" t="s">
        <v>22</v>
      </c>
    </row>
    <row r="724" spans="1:12" x14ac:dyDescent="0.35">
      <c r="A724">
        <v>723</v>
      </c>
      <c r="B724" t="s">
        <v>17</v>
      </c>
      <c r="C724" s="1">
        <v>2.6</v>
      </c>
      <c r="D724">
        <v>81.7</v>
      </c>
      <c r="E724" s="1">
        <v>7.3</v>
      </c>
      <c r="F724" t="s">
        <v>13</v>
      </c>
      <c r="G724" s="2" t="s">
        <v>15</v>
      </c>
      <c r="H724" s="2" t="s">
        <v>14</v>
      </c>
      <c r="I724" t="s">
        <v>15</v>
      </c>
      <c r="J724">
        <v>82.7</v>
      </c>
      <c r="K724" s="1">
        <v>69.900000000000006</v>
      </c>
      <c r="L724" t="s">
        <v>21</v>
      </c>
    </row>
    <row r="725" spans="1:12" x14ac:dyDescent="0.35">
      <c r="A725">
        <v>724</v>
      </c>
      <c r="B725" t="s">
        <v>12</v>
      </c>
      <c r="C725" s="1">
        <v>6.4</v>
      </c>
      <c r="D725">
        <v>91</v>
      </c>
      <c r="E725" s="1">
        <v>4.5999999999999996</v>
      </c>
      <c r="F725" t="s">
        <v>13</v>
      </c>
      <c r="G725" s="2" t="s">
        <v>14</v>
      </c>
      <c r="H725" s="2" t="s">
        <v>14</v>
      </c>
      <c r="I725" t="s">
        <v>14</v>
      </c>
      <c r="J725">
        <v>81.599999999999994</v>
      </c>
      <c r="K725" s="1">
        <v>93.7</v>
      </c>
      <c r="L725" t="s">
        <v>16</v>
      </c>
    </row>
    <row r="726" spans="1:12" x14ac:dyDescent="0.35">
      <c r="A726">
        <v>725</v>
      </c>
      <c r="B726" t="s">
        <v>12</v>
      </c>
      <c r="C726" s="1">
        <v>3.2</v>
      </c>
      <c r="D726">
        <v>79.599999999999994</v>
      </c>
      <c r="E726" s="1">
        <v>5.4</v>
      </c>
      <c r="F726" t="s">
        <v>18</v>
      </c>
      <c r="G726" s="2" t="s">
        <v>14</v>
      </c>
      <c r="H726" s="2" t="s">
        <v>14</v>
      </c>
      <c r="I726" t="s">
        <v>15</v>
      </c>
      <c r="J726">
        <v>78.599999999999994</v>
      </c>
      <c r="K726" s="1">
        <v>84.9</v>
      </c>
      <c r="L726" t="s">
        <v>20</v>
      </c>
    </row>
    <row r="727" spans="1:12" x14ac:dyDescent="0.35">
      <c r="A727">
        <v>726</v>
      </c>
      <c r="B727" t="s">
        <v>12</v>
      </c>
      <c r="C727" s="1">
        <v>3.8</v>
      </c>
      <c r="D727">
        <v>83.4</v>
      </c>
      <c r="E727" s="1">
        <v>6.5</v>
      </c>
      <c r="F727" t="s">
        <v>18</v>
      </c>
      <c r="G727" s="2" t="s">
        <v>14</v>
      </c>
      <c r="H727" s="2" t="s">
        <v>15</v>
      </c>
      <c r="I727" t="s">
        <v>15</v>
      </c>
      <c r="J727">
        <v>91.8</v>
      </c>
      <c r="K727" s="1">
        <v>100</v>
      </c>
      <c r="L727" t="s">
        <v>16</v>
      </c>
    </row>
    <row r="728" spans="1:12" x14ac:dyDescent="0.35">
      <c r="A728">
        <v>727</v>
      </c>
      <c r="B728" t="s">
        <v>12</v>
      </c>
      <c r="C728" s="1">
        <v>4.8</v>
      </c>
      <c r="D728">
        <v>85.4</v>
      </c>
      <c r="E728" s="1">
        <v>6.4</v>
      </c>
      <c r="F728" t="s">
        <v>18</v>
      </c>
      <c r="G728" s="2" t="s">
        <v>14</v>
      </c>
      <c r="H728" s="2" t="s">
        <v>14</v>
      </c>
      <c r="I728" t="s">
        <v>15</v>
      </c>
      <c r="J728">
        <v>69</v>
      </c>
      <c r="K728" s="1">
        <v>97.5</v>
      </c>
      <c r="L728" t="s">
        <v>16</v>
      </c>
    </row>
    <row r="729" spans="1:12" x14ac:dyDescent="0.35">
      <c r="A729">
        <v>728</v>
      </c>
      <c r="B729" t="s">
        <v>12</v>
      </c>
      <c r="C729" s="1">
        <v>4.2</v>
      </c>
      <c r="D729">
        <v>75</v>
      </c>
      <c r="E729" s="1">
        <v>5.3</v>
      </c>
      <c r="F729" t="s">
        <v>18</v>
      </c>
      <c r="G729" s="2" t="s">
        <v>14</v>
      </c>
      <c r="H729" s="2" t="s">
        <v>14</v>
      </c>
      <c r="I729" t="s">
        <v>15</v>
      </c>
      <c r="J729">
        <v>77.8</v>
      </c>
      <c r="K729" s="1">
        <v>88</v>
      </c>
      <c r="L729" t="s">
        <v>20</v>
      </c>
    </row>
    <row r="730" spans="1:12" x14ac:dyDescent="0.35">
      <c r="A730">
        <v>729</v>
      </c>
      <c r="B730" t="s">
        <v>12</v>
      </c>
      <c r="C730" s="1">
        <v>3.7</v>
      </c>
      <c r="D730">
        <v>92.4</v>
      </c>
      <c r="E730" s="1">
        <v>7.3</v>
      </c>
      <c r="F730" t="s">
        <v>13</v>
      </c>
      <c r="G730" s="2" t="s">
        <v>14</v>
      </c>
      <c r="H730" s="2" t="s">
        <v>14</v>
      </c>
      <c r="I730" t="s">
        <v>15</v>
      </c>
      <c r="J730">
        <v>63</v>
      </c>
      <c r="K730" s="1">
        <v>85</v>
      </c>
      <c r="L730" t="s">
        <v>20</v>
      </c>
    </row>
    <row r="731" spans="1:12" x14ac:dyDescent="0.35">
      <c r="A731">
        <v>730</v>
      </c>
      <c r="B731" t="s">
        <v>17</v>
      </c>
      <c r="C731" s="1">
        <v>4</v>
      </c>
      <c r="D731">
        <v>79.900000000000006</v>
      </c>
      <c r="E731" s="1">
        <v>7.1</v>
      </c>
      <c r="F731" t="s">
        <v>24</v>
      </c>
      <c r="G731" s="2" t="s">
        <v>14</v>
      </c>
      <c r="H731" s="2" t="s">
        <v>15</v>
      </c>
      <c r="I731" t="s">
        <v>15</v>
      </c>
      <c r="J731">
        <v>99.4</v>
      </c>
      <c r="K731" s="1">
        <v>98.9</v>
      </c>
      <c r="L731" t="s">
        <v>16</v>
      </c>
    </row>
    <row r="732" spans="1:12" x14ac:dyDescent="0.35">
      <c r="A732">
        <v>731</v>
      </c>
      <c r="B732" t="s">
        <v>12</v>
      </c>
      <c r="C732" s="1">
        <v>7.1</v>
      </c>
      <c r="D732">
        <v>82.7</v>
      </c>
      <c r="E732" s="1">
        <v>6.6</v>
      </c>
      <c r="F732" t="s">
        <v>23</v>
      </c>
      <c r="G732" s="2" t="s">
        <v>14</v>
      </c>
      <c r="H732" s="2" t="s">
        <v>15</v>
      </c>
      <c r="I732" t="s">
        <v>15</v>
      </c>
      <c r="J732">
        <v>93.8</v>
      </c>
      <c r="K732" s="1">
        <v>100</v>
      </c>
      <c r="L732" t="s">
        <v>16</v>
      </c>
    </row>
    <row r="733" spans="1:12" x14ac:dyDescent="0.35">
      <c r="A733">
        <v>732</v>
      </c>
      <c r="B733" t="s">
        <v>12</v>
      </c>
      <c r="C733" s="1">
        <v>3.4</v>
      </c>
      <c r="D733">
        <v>75.099999999999994</v>
      </c>
      <c r="E733" s="1">
        <v>5.9</v>
      </c>
      <c r="F733" t="s">
        <v>13</v>
      </c>
      <c r="G733" s="2" t="s">
        <v>15</v>
      </c>
      <c r="H733" s="2" t="s">
        <v>15</v>
      </c>
      <c r="I733" t="s">
        <v>15</v>
      </c>
      <c r="J733">
        <v>70.099999999999994</v>
      </c>
      <c r="K733" s="1">
        <v>85</v>
      </c>
      <c r="L733" t="s">
        <v>20</v>
      </c>
    </row>
    <row r="734" spans="1:12" x14ac:dyDescent="0.35">
      <c r="A734">
        <v>733</v>
      </c>
      <c r="B734" t="s">
        <v>12</v>
      </c>
      <c r="C734" s="1">
        <v>3.8</v>
      </c>
      <c r="D734">
        <v>59.4</v>
      </c>
      <c r="E734" s="1">
        <v>8.1</v>
      </c>
      <c r="F734" t="s">
        <v>19</v>
      </c>
      <c r="G734" s="2" t="s">
        <v>15</v>
      </c>
      <c r="H734" s="2" t="s">
        <v>15</v>
      </c>
      <c r="I734" t="s">
        <v>15</v>
      </c>
      <c r="J734">
        <v>74.599999999999994</v>
      </c>
      <c r="K734" s="1">
        <v>74.3</v>
      </c>
      <c r="L734" t="s">
        <v>22</v>
      </c>
    </row>
    <row r="735" spans="1:12" x14ac:dyDescent="0.35">
      <c r="A735">
        <v>734</v>
      </c>
      <c r="B735" t="s">
        <v>17</v>
      </c>
      <c r="C735" s="1">
        <v>5.0999999999999996</v>
      </c>
      <c r="D735">
        <v>83.1</v>
      </c>
      <c r="E735" s="1">
        <v>8.8000000000000007</v>
      </c>
      <c r="F735" t="s">
        <v>23</v>
      </c>
      <c r="G735" s="2" t="s">
        <v>14</v>
      </c>
      <c r="H735" s="2" t="s">
        <v>15</v>
      </c>
      <c r="I735" t="s">
        <v>15</v>
      </c>
      <c r="J735">
        <v>86.3</v>
      </c>
      <c r="K735" s="1">
        <v>99.6</v>
      </c>
      <c r="L735" t="s">
        <v>16</v>
      </c>
    </row>
    <row r="736" spans="1:12" x14ac:dyDescent="0.35">
      <c r="A736">
        <v>735</v>
      </c>
      <c r="B736" t="s">
        <v>17</v>
      </c>
      <c r="C736" s="1">
        <v>5.2</v>
      </c>
      <c r="D736">
        <v>100</v>
      </c>
      <c r="E736" s="1">
        <v>6.2</v>
      </c>
      <c r="F736" t="s">
        <v>19</v>
      </c>
      <c r="G736" s="2" t="s">
        <v>14</v>
      </c>
      <c r="H736" s="2" t="s">
        <v>15</v>
      </c>
      <c r="I736" t="s">
        <v>14</v>
      </c>
      <c r="J736">
        <v>68.2</v>
      </c>
      <c r="K736" s="1">
        <v>79.8</v>
      </c>
      <c r="L736" t="s">
        <v>22</v>
      </c>
    </row>
    <row r="737" spans="1:12" x14ac:dyDescent="0.35">
      <c r="A737">
        <v>736</v>
      </c>
      <c r="B737" t="s">
        <v>12</v>
      </c>
      <c r="C737" s="1">
        <v>5.3</v>
      </c>
      <c r="D737">
        <v>92.8</v>
      </c>
      <c r="E737" s="1">
        <v>6.1</v>
      </c>
      <c r="F737" t="s">
        <v>13</v>
      </c>
      <c r="G737" s="2" t="s">
        <v>14</v>
      </c>
      <c r="H737" s="2" t="s">
        <v>14</v>
      </c>
      <c r="I737" t="s">
        <v>15</v>
      </c>
      <c r="J737">
        <v>62.1</v>
      </c>
      <c r="K737" s="1">
        <v>91.3</v>
      </c>
      <c r="L737" t="s">
        <v>16</v>
      </c>
    </row>
    <row r="738" spans="1:12" x14ac:dyDescent="0.35">
      <c r="A738">
        <v>737</v>
      </c>
      <c r="B738" t="s">
        <v>17</v>
      </c>
      <c r="C738" s="1">
        <v>4.5</v>
      </c>
      <c r="D738">
        <v>84.8</v>
      </c>
      <c r="E738" s="1">
        <v>7.4</v>
      </c>
      <c r="F738" t="s">
        <v>18</v>
      </c>
      <c r="G738" s="2" t="s">
        <v>15</v>
      </c>
      <c r="H738" s="2" t="s">
        <v>14</v>
      </c>
      <c r="I738" t="s">
        <v>15</v>
      </c>
      <c r="J738">
        <v>80.5</v>
      </c>
      <c r="K738" s="1">
        <v>95</v>
      </c>
      <c r="L738" t="s">
        <v>16</v>
      </c>
    </row>
    <row r="739" spans="1:12" x14ac:dyDescent="0.35">
      <c r="A739">
        <v>738</v>
      </c>
      <c r="B739" t="s">
        <v>12</v>
      </c>
      <c r="C739" s="1">
        <v>1.8</v>
      </c>
      <c r="D739">
        <v>82.4</v>
      </c>
      <c r="E739" s="1">
        <v>6.4</v>
      </c>
      <c r="F739" t="s">
        <v>18</v>
      </c>
      <c r="G739" s="2" t="s">
        <v>14</v>
      </c>
      <c r="H739" s="2" t="s">
        <v>15</v>
      </c>
      <c r="I739" t="s">
        <v>14</v>
      </c>
      <c r="J739">
        <v>70.900000000000006</v>
      </c>
      <c r="K739" s="1">
        <v>66.599999999999994</v>
      </c>
      <c r="L739" t="s">
        <v>21</v>
      </c>
    </row>
    <row r="740" spans="1:12" x14ac:dyDescent="0.35">
      <c r="A740">
        <v>739</v>
      </c>
      <c r="B740" t="s">
        <v>12</v>
      </c>
      <c r="C740" s="1">
        <v>6</v>
      </c>
      <c r="D740">
        <v>85.2</v>
      </c>
      <c r="E740" s="1">
        <v>6.6</v>
      </c>
      <c r="F740" t="s">
        <v>23</v>
      </c>
      <c r="G740" s="2" t="s">
        <v>14</v>
      </c>
      <c r="H740" s="2" t="s">
        <v>14</v>
      </c>
      <c r="I740" t="s">
        <v>15</v>
      </c>
      <c r="J740">
        <v>72.2</v>
      </c>
      <c r="K740" s="1">
        <v>93.1</v>
      </c>
      <c r="L740" t="s">
        <v>16</v>
      </c>
    </row>
    <row r="741" spans="1:12" x14ac:dyDescent="0.35">
      <c r="A741">
        <v>740</v>
      </c>
      <c r="B741" t="s">
        <v>17</v>
      </c>
      <c r="C741" s="1">
        <v>1.8</v>
      </c>
      <c r="D741">
        <v>90.5</v>
      </c>
      <c r="E741" s="1">
        <v>7.7</v>
      </c>
      <c r="F741" t="s">
        <v>18</v>
      </c>
      <c r="G741" s="2" t="s">
        <v>14</v>
      </c>
      <c r="H741" s="2" t="s">
        <v>14</v>
      </c>
      <c r="I741" t="s">
        <v>15</v>
      </c>
      <c r="J741">
        <v>60</v>
      </c>
      <c r="K741" s="1">
        <v>81.8</v>
      </c>
      <c r="L741" t="s">
        <v>20</v>
      </c>
    </row>
    <row r="742" spans="1:12" x14ac:dyDescent="0.35">
      <c r="A742">
        <v>741</v>
      </c>
      <c r="B742" t="s">
        <v>12</v>
      </c>
      <c r="C742" s="1">
        <v>4</v>
      </c>
      <c r="D742">
        <v>73.2</v>
      </c>
      <c r="E742" s="1">
        <v>4.5</v>
      </c>
      <c r="F742" t="s">
        <v>18</v>
      </c>
      <c r="G742" s="2" t="s">
        <v>14</v>
      </c>
      <c r="H742" s="2" t="s">
        <v>15</v>
      </c>
      <c r="I742" t="s">
        <v>15</v>
      </c>
      <c r="J742">
        <v>49.4</v>
      </c>
      <c r="K742" s="1">
        <v>62.9</v>
      </c>
      <c r="L742" t="s">
        <v>21</v>
      </c>
    </row>
    <row r="743" spans="1:12" x14ac:dyDescent="0.35">
      <c r="A743">
        <v>742</v>
      </c>
      <c r="B743" t="s">
        <v>17</v>
      </c>
      <c r="C743" s="1">
        <v>2.4</v>
      </c>
      <c r="D743">
        <v>96.1</v>
      </c>
      <c r="E743" s="1">
        <v>8.4</v>
      </c>
      <c r="F743" t="s">
        <v>13</v>
      </c>
      <c r="G743" s="2" t="s">
        <v>14</v>
      </c>
      <c r="H743" s="2" t="s">
        <v>14</v>
      </c>
      <c r="I743" t="s">
        <v>15</v>
      </c>
      <c r="J743">
        <v>72.8</v>
      </c>
      <c r="K743" s="1">
        <v>94</v>
      </c>
      <c r="L743" t="s">
        <v>16</v>
      </c>
    </row>
    <row r="744" spans="1:12" x14ac:dyDescent="0.35">
      <c r="A744">
        <v>743</v>
      </c>
      <c r="B744" t="s">
        <v>17</v>
      </c>
      <c r="C744" s="1">
        <v>3.4</v>
      </c>
      <c r="D744">
        <v>92.2</v>
      </c>
      <c r="E744" s="1">
        <v>6.9</v>
      </c>
      <c r="F744" t="s">
        <v>13</v>
      </c>
      <c r="G744" s="2" t="s">
        <v>14</v>
      </c>
      <c r="H744" s="2" t="s">
        <v>15</v>
      </c>
      <c r="I744" t="s">
        <v>14</v>
      </c>
      <c r="J744">
        <v>80.900000000000006</v>
      </c>
      <c r="K744" s="1">
        <v>85</v>
      </c>
      <c r="L744" t="s">
        <v>20</v>
      </c>
    </row>
    <row r="745" spans="1:12" x14ac:dyDescent="0.35">
      <c r="A745">
        <v>744</v>
      </c>
      <c r="B745" t="s">
        <v>12</v>
      </c>
      <c r="C745" s="1">
        <v>4</v>
      </c>
      <c r="D745">
        <v>92.2</v>
      </c>
      <c r="E745" s="1">
        <v>6.3</v>
      </c>
      <c r="F745" t="s">
        <v>13</v>
      </c>
      <c r="G745" s="2" t="s">
        <v>14</v>
      </c>
      <c r="H745" s="2" t="s">
        <v>15</v>
      </c>
      <c r="I745" t="s">
        <v>14</v>
      </c>
      <c r="J745">
        <v>67.3</v>
      </c>
      <c r="K745" s="1">
        <v>82.4</v>
      </c>
      <c r="L745" t="s">
        <v>20</v>
      </c>
    </row>
    <row r="746" spans="1:12" x14ac:dyDescent="0.35">
      <c r="A746">
        <v>745</v>
      </c>
      <c r="B746" t="s">
        <v>12</v>
      </c>
      <c r="C746" s="1">
        <v>4</v>
      </c>
      <c r="D746">
        <v>89.4</v>
      </c>
      <c r="E746" s="1">
        <v>6.7</v>
      </c>
      <c r="F746" t="s">
        <v>18</v>
      </c>
      <c r="G746" s="2" t="s">
        <v>14</v>
      </c>
      <c r="H746" s="2" t="s">
        <v>14</v>
      </c>
      <c r="I746" t="s">
        <v>15</v>
      </c>
      <c r="J746">
        <v>87.2</v>
      </c>
      <c r="K746" s="1">
        <v>89.5</v>
      </c>
      <c r="L746" t="s">
        <v>20</v>
      </c>
    </row>
    <row r="747" spans="1:12" x14ac:dyDescent="0.35">
      <c r="A747">
        <v>746</v>
      </c>
      <c r="B747" t="s">
        <v>17</v>
      </c>
      <c r="C747" s="1">
        <v>4.0999999999999996</v>
      </c>
      <c r="D747">
        <v>85.2</v>
      </c>
      <c r="E747" s="1">
        <v>6.8</v>
      </c>
      <c r="F747" t="s">
        <v>13</v>
      </c>
      <c r="G747" s="2" t="s">
        <v>14</v>
      </c>
      <c r="H747" s="2" t="s">
        <v>15</v>
      </c>
      <c r="I747" t="s">
        <v>14</v>
      </c>
      <c r="J747">
        <v>61.6</v>
      </c>
      <c r="K747" s="1">
        <v>83.3</v>
      </c>
      <c r="L747" t="s">
        <v>20</v>
      </c>
    </row>
    <row r="748" spans="1:12" x14ac:dyDescent="0.35">
      <c r="A748">
        <v>747</v>
      </c>
      <c r="B748" t="s">
        <v>12</v>
      </c>
      <c r="C748" s="1">
        <v>5.9</v>
      </c>
      <c r="D748">
        <v>91.7</v>
      </c>
      <c r="E748" s="1">
        <v>4.7</v>
      </c>
      <c r="F748" t="s">
        <v>13</v>
      </c>
      <c r="G748" s="2" t="s">
        <v>14</v>
      </c>
      <c r="H748" s="2" t="s">
        <v>14</v>
      </c>
      <c r="I748" t="s">
        <v>14</v>
      </c>
      <c r="J748">
        <v>57.3</v>
      </c>
      <c r="K748" s="1">
        <v>100</v>
      </c>
      <c r="L748" t="s">
        <v>16</v>
      </c>
    </row>
    <row r="749" spans="1:12" x14ac:dyDescent="0.35">
      <c r="A749">
        <v>748</v>
      </c>
      <c r="B749" t="s">
        <v>12</v>
      </c>
      <c r="C749" s="1">
        <v>4.2</v>
      </c>
      <c r="D749">
        <v>90.9</v>
      </c>
      <c r="E749" s="1">
        <v>8.6</v>
      </c>
      <c r="F749" t="s">
        <v>19</v>
      </c>
      <c r="G749" s="2" t="s">
        <v>15</v>
      </c>
      <c r="H749" s="2" t="s">
        <v>14</v>
      </c>
      <c r="I749" t="s">
        <v>15</v>
      </c>
      <c r="J749">
        <v>69.2</v>
      </c>
      <c r="K749" s="1">
        <v>92.4</v>
      </c>
      <c r="L749" t="s">
        <v>16</v>
      </c>
    </row>
    <row r="750" spans="1:12" x14ac:dyDescent="0.35">
      <c r="A750">
        <v>749</v>
      </c>
      <c r="B750" t="s">
        <v>12</v>
      </c>
      <c r="C750" s="1">
        <v>3.1</v>
      </c>
      <c r="D750">
        <v>81.5</v>
      </c>
      <c r="E750" s="1">
        <v>6.8</v>
      </c>
      <c r="F750" t="s">
        <v>23</v>
      </c>
      <c r="G750" s="2" t="s">
        <v>14</v>
      </c>
      <c r="H750" s="2" t="s">
        <v>14</v>
      </c>
      <c r="I750" t="s">
        <v>15</v>
      </c>
      <c r="J750">
        <v>69</v>
      </c>
      <c r="K750" s="1">
        <v>77</v>
      </c>
      <c r="L750" t="s">
        <v>22</v>
      </c>
    </row>
    <row r="751" spans="1:12" x14ac:dyDescent="0.35">
      <c r="A751">
        <v>750</v>
      </c>
      <c r="B751" t="s">
        <v>17</v>
      </c>
      <c r="C751" s="1">
        <v>4.9000000000000004</v>
      </c>
      <c r="D751">
        <v>79.3</v>
      </c>
      <c r="E751" s="1">
        <v>7.3</v>
      </c>
      <c r="F751" t="s">
        <v>19</v>
      </c>
      <c r="G751" s="2" t="s">
        <v>15</v>
      </c>
      <c r="H751" s="2" t="s">
        <v>15</v>
      </c>
      <c r="I751" t="s">
        <v>15</v>
      </c>
      <c r="J751">
        <v>79.2</v>
      </c>
      <c r="K751" s="1">
        <v>95.1</v>
      </c>
      <c r="L751" t="s">
        <v>16</v>
      </c>
    </row>
    <row r="752" spans="1:12" x14ac:dyDescent="0.35">
      <c r="A752">
        <v>751</v>
      </c>
      <c r="B752" t="s">
        <v>17</v>
      </c>
      <c r="C752" s="1">
        <v>5.3</v>
      </c>
      <c r="D752">
        <v>86</v>
      </c>
      <c r="E752" s="1">
        <v>7.9</v>
      </c>
      <c r="F752" t="s">
        <v>23</v>
      </c>
      <c r="G752" s="2" t="s">
        <v>14</v>
      </c>
      <c r="H752" s="2" t="s">
        <v>15</v>
      </c>
      <c r="I752" t="s">
        <v>15</v>
      </c>
      <c r="J752">
        <v>60.7</v>
      </c>
      <c r="K752" s="1">
        <v>88.8</v>
      </c>
      <c r="L752" t="s">
        <v>20</v>
      </c>
    </row>
    <row r="753" spans="1:12" x14ac:dyDescent="0.35">
      <c r="A753">
        <v>752</v>
      </c>
      <c r="B753" t="s">
        <v>12</v>
      </c>
      <c r="C753" s="1">
        <v>1.7</v>
      </c>
      <c r="D753">
        <v>100</v>
      </c>
      <c r="E753" s="1">
        <v>5.6</v>
      </c>
      <c r="F753" t="s">
        <v>13</v>
      </c>
      <c r="G753" s="2" t="s">
        <v>14</v>
      </c>
      <c r="H753" s="2" t="s">
        <v>14</v>
      </c>
      <c r="I753" t="s">
        <v>14</v>
      </c>
      <c r="J753">
        <v>86.4</v>
      </c>
      <c r="K753" s="1">
        <v>93.2</v>
      </c>
      <c r="L753" t="s">
        <v>16</v>
      </c>
    </row>
    <row r="754" spans="1:12" x14ac:dyDescent="0.35">
      <c r="A754">
        <v>753</v>
      </c>
      <c r="B754" t="s">
        <v>17</v>
      </c>
      <c r="C754" s="1">
        <v>4.4000000000000004</v>
      </c>
      <c r="D754">
        <v>72.599999999999994</v>
      </c>
      <c r="E754" s="1">
        <v>7.4</v>
      </c>
      <c r="F754" t="s">
        <v>18</v>
      </c>
      <c r="G754" s="2" t="s">
        <v>14</v>
      </c>
      <c r="H754" s="2" t="s">
        <v>15</v>
      </c>
      <c r="I754" t="s">
        <v>14</v>
      </c>
      <c r="J754">
        <v>93.6</v>
      </c>
      <c r="K754" s="1">
        <v>96.4</v>
      </c>
      <c r="L754" t="s">
        <v>16</v>
      </c>
    </row>
    <row r="755" spans="1:12" x14ac:dyDescent="0.35">
      <c r="A755">
        <v>754</v>
      </c>
      <c r="B755" t="s">
        <v>17</v>
      </c>
      <c r="C755" s="1">
        <v>4.5999999999999996</v>
      </c>
      <c r="D755">
        <v>70.3</v>
      </c>
      <c r="E755" s="1">
        <v>6.5</v>
      </c>
      <c r="F755" t="s">
        <v>23</v>
      </c>
      <c r="G755" s="2" t="s">
        <v>14</v>
      </c>
      <c r="H755" s="2" t="s">
        <v>14</v>
      </c>
      <c r="I755" t="s">
        <v>15</v>
      </c>
      <c r="J755">
        <v>69.5</v>
      </c>
      <c r="K755" s="1">
        <v>67.2</v>
      </c>
      <c r="L755" t="s">
        <v>21</v>
      </c>
    </row>
    <row r="756" spans="1:12" x14ac:dyDescent="0.35">
      <c r="A756">
        <v>755</v>
      </c>
      <c r="B756" t="s">
        <v>17</v>
      </c>
      <c r="C756" s="1">
        <v>3.1</v>
      </c>
      <c r="D756">
        <v>86.6</v>
      </c>
      <c r="E756" s="1">
        <v>7.8</v>
      </c>
      <c r="F756" t="s">
        <v>13</v>
      </c>
      <c r="G756" s="2" t="s">
        <v>14</v>
      </c>
      <c r="H756" s="2" t="s">
        <v>15</v>
      </c>
      <c r="I756" t="s">
        <v>15</v>
      </c>
      <c r="J756">
        <v>85</v>
      </c>
      <c r="K756" s="1">
        <v>84.6</v>
      </c>
      <c r="L756" t="s">
        <v>20</v>
      </c>
    </row>
    <row r="757" spans="1:12" x14ac:dyDescent="0.35">
      <c r="A757">
        <v>756</v>
      </c>
      <c r="B757" t="s">
        <v>17</v>
      </c>
      <c r="C757" s="1">
        <v>5.6</v>
      </c>
      <c r="D757">
        <v>85.5</v>
      </c>
      <c r="E757" s="1">
        <v>4.2</v>
      </c>
      <c r="F757" t="s">
        <v>13</v>
      </c>
      <c r="G757" s="2" t="s">
        <v>14</v>
      </c>
      <c r="H757" s="2" t="s">
        <v>14</v>
      </c>
      <c r="I757" t="s">
        <v>14</v>
      </c>
      <c r="J757">
        <v>57.3</v>
      </c>
      <c r="K757" s="1">
        <v>89.8</v>
      </c>
      <c r="L757" t="s">
        <v>20</v>
      </c>
    </row>
    <row r="758" spans="1:12" x14ac:dyDescent="0.35">
      <c r="A758">
        <v>757</v>
      </c>
      <c r="B758" t="s">
        <v>17</v>
      </c>
      <c r="C758" s="1">
        <v>3.3</v>
      </c>
      <c r="D758">
        <v>86.7</v>
      </c>
      <c r="E758" s="1">
        <v>6.7</v>
      </c>
      <c r="F758" t="s">
        <v>13</v>
      </c>
      <c r="G758" s="2" t="s">
        <v>14</v>
      </c>
      <c r="H758" s="2" t="s">
        <v>15</v>
      </c>
      <c r="I758" t="s">
        <v>15</v>
      </c>
      <c r="J758">
        <v>82.9</v>
      </c>
      <c r="K758" s="1">
        <v>90.3</v>
      </c>
      <c r="L758" t="s">
        <v>16</v>
      </c>
    </row>
    <row r="759" spans="1:12" x14ac:dyDescent="0.35">
      <c r="A759">
        <v>758</v>
      </c>
      <c r="B759" t="s">
        <v>12</v>
      </c>
      <c r="C759" s="1">
        <v>3.7</v>
      </c>
      <c r="D759">
        <v>87.4</v>
      </c>
      <c r="E759" s="1">
        <v>6.1</v>
      </c>
      <c r="F759" t="s">
        <v>13</v>
      </c>
      <c r="G759" s="2" t="s">
        <v>14</v>
      </c>
      <c r="H759" s="2" t="s">
        <v>14</v>
      </c>
      <c r="I759" t="s">
        <v>14</v>
      </c>
      <c r="J759">
        <v>82.6</v>
      </c>
      <c r="K759" s="1">
        <v>82.5</v>
      </c>
      <c r="L759" t="s">
        <v>20</v>
      </c>
    </row>
    <row r="760" spans="1:12" x14ac:dyDescent="0.35">
      <c r="A760">
        <v>759</v>
      </c>
      <c r="B760" t="s">
        <v>12</v>
      </c>
      <c r="C760" s="1">
        <v>3.2</v>
      </c>
      <c r="D760">
        <v>82.8</v>
      </c>
      <c r="E760" s="1">
        <v>7.3</v>
      </c>
      <c r="F760" t="s">
        <v>18</v>
      </c>
      <c r="G760" s="2" t="s">
        <v>14</v>
      </c>
      <c r="H760" s="2" t="s">
        <v>14</v>
      </c>
      <c r="I760" t="s">
        <v>15</v>
      </c>
      <c r="J760">
        <v>80.400000000000006</v>
      </c>
      <c r="K760" s="1">
        <v>84.5</v>
      </c>
      <c r="L760" t="s">
        <v>20</v>
      </c>
    </row>
    <row r="761" spans="1:12" x14ac:dyDescent="0.35">
      <c r="A761">
        <v>760</v>
      </c>
      <c r="B761" t="s">
        <v>12</v>
      </c>
      <c r="C761" s="1">
        <v>3.5</v>
      </c>
      <c r="D761">
        <v>99.9</v>
      </c>
      <c r="E761" s="1">
        <v>7.4</v>
      </c>
      <c r="F761" t="s">
        <v>13</v>
      </c>
      <c r="G761" s="2" t="s">
        <v>15</v>
      </c>
      <c r="H761" s="2" t="s">
        <v>14</v>
      </c>
      <c r="I761" t="s">
        <v>14</v>
      </c>
      <c r="J761">
        <v>69.8</v>
      </c>
      <c r="K761" s="1">
        <v>72.099999999999994</v>
      </c>
      <c r="L761" t="s">
        <v>22</v>
      </c>
    </row>
    <row r="762" spans="1:12" x14ac:dyDescent="0.35">
      <c r="A762">
        <v>761</v>
      </c>
      <c r="B762" t="s">
        <v>17</v>
      </c>
      <c r="C762" s="1">
        <v>1.9</v>
      </c>
      <c r="D762">
        <v>69</v>
      </c>
      <c r="E762" s="1">
        <v>6</v>
      </c>
      <c r="F762" t="s">
        <v>18</v>
      </c>
      <c r="G762" s="2" t="s">
        <v>14</v>
      </c>
      <c r="H762" s="2" t="s">
        <v>15</v>
      </c>
      <c r="I762" t="s">
        <v>14</v>
      </c>
      <c r="J762">
        <v>34.5</v>
      </c>
      <c r="K762" s="1">
        <v>53.2</v>
      </c>
      <c r="L762" t="s">
        <v>25</v>
      </c>
    </row>
    <row r="763" spans="1:12" x14ac:dyDescent="0.35">
      <c r="A763">
        <v>762</v>
      </c>
      <c r="B763" t="s">
        <v>17</v>
      </c>
      <c r="C763" s="1">
        <v>1.3</v>
      </c>
      <c r="D763">
        <v>76.7</v>
      </c>
      <c r="E763" s="1">
        <v>5.9</v>
      </c>
      <c r="F763" t="s">
        <v>23</v>
      </c>
      <c r="G763" s="2" t="s">
        <v>15</v>
      </c>
      <c r="H763" s="2" t="s">
        <v>14</v>
      </c>
      <c r="I763" t="s">
        <v>14</v>
      </c>
      <c r="J763">
        <v>62.3</v>
      </c>
      <c r="K763" s="1">
        <v>74</v>
      </c>
      <c r="L763" t="s">
        <v>22</v>
      </c>
    </row>
    <row r="764" spans="1:12" x14ac:dyDescent="0.35">
      <c r="A764">
        <v>763</v>
      </c>
      <c r="B764" t="s">
        <v>12</v>
      </c>
      <c r="C764" s="1">
        <v>5.9</v>
      </c>
      <c r="D764">
        <v>84</v>
      </c>
      <c r="E764" s="1">
        <v>6.7</v>
      </c>
      <c r="F764" t="s">
        <v>18</v>
      </c>
      <c r="G764" s="2" t="s">
        <v>14</v>
      </c>
      <c r="H764" s="2" t="s">
        <v>15</v>
      </c>
      <c r="I764" t="s">
        <v>15</v>
      </c>
      <c r="J764">
        <v>62.5</v>
      </c>
      <c r="K764" s="1">
        <v>96.8</v>
      </c>
      <c r="L764" t="s">
        <v>16</v>
      </c>
    </row>
    <row r="765" spans="1:12" x14ac:dyDescent="0.35">
      <c r="A765">
        <v>764</v>
      </c>
      <c r="B765" t="s">
        <v>17</v>
      </c>
      <c r="C765" s="1">
        <v>2.2000000000000002</v>
      </c>
      <c r="D765">
        <v>68.599999999999994</v>
      </c>
      <c r="E765" s="1">
        <v>5.7</v>
      </c>
      <c r="F765" t="s">
        <v>18</v>
      </c>
      <c r="G765" s="2" t="s">
        <v>14</v>
      </c>
      <c r="H765" s="2" t="s">
        <v>14</v>
      </c>
      <c r="I765" t="s">
        <v>15</v>
      </c>
      <c r="J765">
        <v>58.3</v>
      </c>
      <c r="K765" s="1">
        <v>81.2</v>
      </c>
      <c r="L765" t="s">
        <v>20</v>
      </c>
    </row>
    <row r="766" spans="1:12" x14ac:dyDescent="0.35">
      <c r="A766">
        <v>765</v>
      </c>
      <c r="B766" t="s">
        <v>12</v>
      </c>
      <c r="C766" s="1">
        <v>2</v>
      </c>
      <c r="D766">
        <v>83.2</v>
      </c>
      <c r="E766" s="1">
        <v>7.8</v>
      </c>
      <c r="F766" t="s">
        <v>13</v>
      </c>
      <c r="G766" s="2" t="s">
        <v>14</v>
      </c>
      <c r="H766" s="2" t="s">
        <v>14</v>
      </c>
      <c r="I766" t="s">
        <v>15</v>
      </c>
      <c r="J766">
        <v>71.5</v>
      </c>
      <c r="K766" s="1">
        <v>85.4</v>
      </c>
      <c r="L766" t="s">
        <v>20</v>
      </c>
    </row>
    <row r="767" spans="1:12" x14ac:dyDescent="0.35">
      <c r="A767">
        <v>766</v>
      </c>
      <c r="B767" t="s">
        <v>12</v>
      </c>
      <c r="C767" s="1">
        <v>0.5</v>
      </c>
      <c r="D767">
        <v>100</v>
      </c>
      <c r="E767" s="1">
        <v>6.4</v>
      </c>
      <c r="F767" t="s">
        <v>23</v>
      </c>
      <c r="G767" s="2" t="s">
        <v>14</v>
      </c>
      <c r="H767" s="2" t="s">
        <v>14</v>
      </c>
      <c r="I767" t="s">
        <v>15</v>
      </c>
      <c r="J767">
        <v>65</v>
      </c>
      <c r="K767" s="1">
        <v>81.099999999999994</v>
      </c>
      <c r="L767" t="s">
        <v>20</v>
      </c>
    </row>
    <row r="768" spans="1:12" x14ac:dyDescent="0.35">
      <c r="A768">
        <v>767</v>
      </c>
      <c r="B768" t="s">
        <v>12</v>
      </c>
      <c r="C768" s="1">
        <v>2.5</v>
      </c>
      <c r="D768">
        <v>85.2</v>
      </c>
      <c r="E768" s="1">
        <v>3.3</v>
      </c>
      <c r="F768" t="s">
        <v>13</v>
      </c>
      <c r="G768" s="2" t="s">
        <v>14</v>
      </c>
      <c r="H768" s="2" t="s">
        <v>15</v>
      </c>
      <c r="I768" t="s">
        <v>15</v>
      </c>
      <c r="J768">
        <v>60.1</v>
      </c>
      <c r="K768" s="1">
        <v>83.9</v>
      </c>
      <c r="L768" t="s">
        <v>20</v>
      </c>
    </row>
    <row r="769" spans="1:12" x14ac:dyDescent="0.35">
      <c r="A769">
        <v>768</v>
      </c>
      <c r="B769" t="s">
        <v>17</v>
      </c>
      <c r="C769" s="1">
        <v>1.5</v>
      </c>
      <c r="D769">
        <v>87.3</v>
      </c>
      <c r="E769" s="1">
        <v>6.4</v>
      </c>
      <c r="F769" t="s">
        <v>18</v>
      </c>
      <c r="G769" s="2" t="s">
        <v>14</v>
      </c>
      <c r="H769" s="2" t="s">
        <v>14</v>
      </c>
      <c r="I769" t="s">
        <v>14</v>
      </c>
      <c r="J769">
        <v>57.3</v>
      </c>
      <c r="K769" s="1">
        <v>71.2</v>
      </c>
      <c r="L769" t="s">
        <v>22</v>
      </c>
    </row>
    <row r="770" spans="1:12" x14ac:dyDescent="0.35">
      <c r="A770">
        <v>769</v>
      </c>
      <c r="B770" t="s">
        <v>17</v>
      </c>
      <c r="C770" s="1">
        <v>6</v>
      </c>
      <c r="D770">
        <v>72.400000000000006</v>
      </c>
      <c r="E770" s="1">
        <v>5.6</v>
      </c>
      <c r="F770" t="s">
        <v>13</v>
      </c>
      <c r="G770" s="2" t="s">
        <v>14</v>
      </c>
      <c r="H770" s="2" t="s">
        <v>15</v>
      </c>
      <c r="I770" t="s">
        <v>15</v>
      </c>
      <c r="J770">
        <v>61.4</v>
      </c>
      <c r="K770" s="1">
        <v>85.5</v>
      </c>
      <c r="L770" t="s">
        <v>20</v>
      </c>
    </row>
    <row r="771" spans="1:12" x14ac:dyDescent="0.35">
      <c r="A771">
        <v>770</v>
      </c>
      <c r="B771" t="s">
        <v>12</v>
      </c>
      <c r="C771" s="1">
        <v>5</v>
      </c>
      <c r="D771">
        <v>78.8</v>
      </c>
      <c r="E771" s="1">
        <v>4.8</v>
      </c>
      <c r="F771" t="s">
        <v>18</v>
      </c>
      <c r="G771" s="2" t="s">
        <v>14</v>
      </c>
      <c r="H771" s="2" t="s">
        <v>15</v>
      </c>
      <c r="I771" t="s">
        <v>15</v>
      </c>
      <c r="J771">
        <v>83.5</v>
      </c>
      <c r="K771" s="1">
        <v>98.4</v>
      </c>
      <c r="L771" t="s">
        <v>16</v>
      </c>
    </row>
    <row r="772" spans="1:12" x14ac:dyDescent="0.35">
      <c r="A772">
        <v>771</v>
      </c>
      <c r="B772" t="s">
        <v>12</v>
      </c>
      <c r="C772" s="1">
        <v>2.5</v>
      </c>
      <c r="D772">
        <v>81.2</v>
      </c>
      <c r="E772" s="1">
        <v>5.3</v>
      </c>
      <c r="F772" t="s">
        <v>19</v>
      </c>
      <c r="G772" s="2" t="s">
        <v>14</v>
      </c>
      <c r="H772" s="2" t="s">
        <v>15</v>
      </c>
      <c r="I772" t="s">
        <v>15</v>
      </c>
      <c r="J772">
        <v>62.1</v>
      </c>
      <c r="K772" s="1">
        <v>82.6</v>
      </c>
      <c r="L772" t="s">
        <v>20</v>
      </c>
    </row>
    <row r="773" spans="1:12" x14ac:dyDescent="0.35">
      <c r="A773">
        <v>772</v>
      </c>
      <c r="B773" t="s">
        <v>12</v>
      </c>
      <c r="C773" s="1">
        <v>6.9</v>
      </c>
      <c r="D773">
        <v>81.8</v>
      </c>
      <c r="E773" s="1">
        <v>6.9</v>
      </c>
      <c r="F773" t="s">
        <v>19</v>
      </c>
      <c r="G773" s="2" t="s">
        <v>14</v>
      </c>
      <c r="H773" s="2" t="s">
        <v>14</v>
      </c>
      <c r="I773" t="s">
        <v>14</v>
      </c>
      <c r="J773">
        <v>63.8</v>
      </c>
      <c r="K773" s="1">
        <v>91.6</v>
      </c>
      <c r="L773" t="s">
        <v>16</v>
      </c>
    </row>
    <row r="774" spans="1:12" x14ac:dyDescent="0.35">
      <c r="A774">
        <v>773</v>
      </c>
      <c r="B774" t="s">
        <v>12</v>
      </c>
      <c r="C774" s="1">
        <v>5</v>
      </c>
      <c r="D774">
        <v>97.8</v>
      </c>
      <c r="E774" s="1">
        <v>8.4</v>
      </c>
      <c r="F774" t="s">
        <v>13</v>
      </c>
      <c r="G774" s="2" t="s">
        <v>14</v>
      </c>
      <c r="H774" s="2" t="s">
        <v>15</v>
      </c>
      <c r="I774" t="s">
        <v>15</v>
      </c>
      <c r="J774">
        <v>64.5</v>
      </c>
      <c r="K774" s="1">
        <v>91.3</v>
      </c>
      <c r="L774" t="s">
        <v>16</v>
      </c>
    </row>
    <row r="775" spans="1:12" x14ac:dyDescent="0.35">
      <c r="A775">
        <v>774</v>
      </c>
      <c r="B775" t="s">
        <v>17</v>
      </c>
      <c r="C775" s="1">
        <v>3</v>
      </c>
      <c r="D775">
        <v>90.6</v>
      </c>
      <c r="E775" s="1">
        <v>7.2</v>
      </c>
      <c r="F775" t="s">
        <v>18</v>
      </c>
      <c r="G775" s="2" t="s">
        <v>14</v>
      </c>
      <c r="H775" s="2" t="s">
        <v>15</v>
      </c>
      <c r="I775" t="s">
        <v>14</v>
      </c>
      <c r="J775">
        <v>74.099999999999994</v>
      </c>
      <c r="K775" s="1">
        <v>84.3</v>
      </c>
      <c r="L775" t="s">
        <v>20</v>
      </c>
    </row>
    <row r="776" spans="1:12" x14ac:dyDescent="0.35">
      <c r="A776">
        <v>775</v>
      </c>
      <c r="B776" t="s">
        <v>17</v>
      </c>
      <c r="C776" s="1">
        <v>0.5</v>
      </c>
      <c r="D776">
        <v>73.900000000000006</v>
      </c>
      <c r="E776" s="1">
        <v>6.1</v>
      </c>
      <c r="F776" t="s">
        <v>23</v>
      </c>
      <c r="G776" s="2" t="s">
        <v>14</v>
      </c>
      <c r="H776" s="2" t="s">
        <v>14</v>
      </c>
      <c r="I776" t="s">
        <v>15</v>
      </c>
      <c r="J776">
        <v>75.5</v>
      </c>
      <c r="K776" s="1">
        <v>74.599999999999994</v>
      </c>
      <c r="L776" t="s">
        <v>22</v>
      </c>
    </row>
    <row r="777" spans="1:12" x14ac:dyDescent="0.35">
      <c r="A777">
        <v>776</v>
      </c>
      <c r="B777" t="s">
        <v>12</v>
      </c>
      <c r="C777" s="1">
        <v>6.9</v>
      </c>
      <c r="D777">
        <v>87.5</v>
      </c>
      <c r="E777" s="1">
        <v>7.3</v>
      </c>
      <c r="F777" t="s">
        <v>18</v>
      </c>
      <c r="G777" s="2" t="s">
        <v>14</v>
      </c>
      <c r="H777" s="2" t="s">
        <v>15</v>
      </c>
      <c r="I777" t="s">
        <v>14</v>
      </c>
      <c r="J777">
        <v>33.5</v>
      </c>
      <c r="K777" s="1">
        <v>88.6</v>
      </c>
      <c r="L777" t="s">
        <v>20</v>
      </c>
    </row>
    <row r="778" spans="1:12" x14ac:dyDescent="0.35">
      <c r="A778">
        <v>777</v>
      </c>
      <c r="B778" t="s">
        <v>12</v>
      </c>
      <c r="C778" s="1">
        <v>1.4</v>
      </c>
      <c r="D778">
        <v>90</v>
      </c>
      <c r="E778" s="1">
        <v>6.2</v>
      </c>
      <c r="F778" t="s">
        <v>13</v>
      </c>
      <c r="G778" s="2" t="s">
        <v>14</v>
      </c>
      <c r="H778" s="2" t="s">
        <v>14</v>
      </c>
      <c r="I778" t="s">
        <v>15</v>
      </c>
      <c r="J778">
        <v>82.3</v>
      </c>
      <c r="K778" s="1">
        <v>73.599999999999994</v>
      </c>
      <c r="L778" t="s">
        <v>22</v>
      </c>
    </row>
    <row r="779" spans="1:12" x14ac:dyDescent="0.35">
      <c r="A779">
        <v>778</v>
      </c>
      <c r="B779" t="s">
        <v>17</v>
      </c>
      <c r="C779" s="1">
        <v>1</v>
      </c>
      <c r="D779">
        <v>96.4</v>
      </c>
      <c r="E779" s="1">
        <v>6</v>
      </c>
      <c r="F779" t="s">
        <v>18</v>
      </c>
      <c r="G779" s="2" t="s">
        <v>14</v>
      </c>
      <c r="H779" s="2" t="s">
        <v>14</v>
      </c>
      <c r="I779" t="s">
        <v>15</v>
      </c>
      <c r="J779">
        <v>87.2</v>
      </c>
      <c r="K779" s="1">
        <v>95.8</v>
      </c>
      <c r="L779" t="s">
        <v>16</v>
      </c>
    </row>
    <row r="780" spans="1:12" x14ac:dyDescent="0.35">
      <c r="A780">
        <v>779</v>
      </c>
      <c r="B780" t="s">
        <v>17</v>
      </c>
      <c r="C780" s="1">
        <v>5</v>
      </c>
      <c r="D780">
        <v>100</v>
      </c>
      <c r="E780" s="1">
        <v>5.4</v>
      </c>
      <c r="F780" t="s">
        <v>19</v>
      </c>
      <c r="G780" s="2" t="s">
        <v>14</v>
      </c>
      <c r="H780" s="2" t="s">
        <v>14</v>
      </c>
      <c r="I780" t="s">
        <v>15</v>
      </c>
      <c r="J780">
        <v>57.4</v>
      </c>
      <c r="K780" s="1">
        <v>87.1</v>
      </c>
      <c r="L780" t="s">
        <v>20</v>
      </c>
    </row>
    <row r="781" spans="1:12" x14ac:dyDescent="0.35">
      <c r="A781">
        <v>780</v>
      </c>
      <c r="B781" t="s">
        <v>12</v>
      </c>
      <c r="C781" s="1">
        <v>7.2</v>
      </c>
      <c r="D781">
        <v>74.8</v>
      </c>
      <c r="E781" s="1">
        <v>4.7</v>
      </c>
      <c r="F781" t="s">
        <v>18</v>
      </c>
      <c r="G781" s="2" t="s">
        <v>14</v>
      </c>
      <c r="H781" s="2" t="s">
        <v>14</v>
      </c>
      <c r="I781" t="s">
        <v>15</v>
      </c>
      <c r="J781">
        <v>58.3</v>
      </c>
      <c r="K781" s="1">
        <v>89.9</v>
      </c>
      <c r="L781" t="s">
        <v>20</v>
      </c>
    </row>
    <row r="782" spans="1:12" x14ac:dyDescent="0.35">
      <c r="A782">
        <v>781</v>
      </c>
      <c r="B782" t="s">
        <v>12</v>
      </c>
      <c r="C782" s="1">
        <v>5.6</v>
      </c>
      <c r="D782">
        <v>76.900000000000006</v>
      </c>
      <c r="E782" s="1">
        <v>6.3</v>
      </c>
      <c r="F782" t="s">
        <v>13</v>
      </c>
      <c r="G782" s="2" t="s">
        <v>15</v>
      </c>
      <c r="H782" s="2" t="s">
        <v>14</v>
      </c>
      <c r="I782" t="s">
        <v>15</v>
      </c>
      <c r="J782">
        <v>64.599999999999994</v>
      </c>
      <c r="K782" s="1">
        <v>79.099999999999994</v>
      </c>
      <c r="L782" t="s">
        <v>22</v>
      </c>
    </row>
    <row r="783" spans="1:12" x14ac:dyDescent="0.35">
      <c r="A783">
        <v>782</v>
      </c>
      <c r="B783" t="s">
        <v>12</v>
      </c>
      <c r="C783" s="1">
        <v>4.3</v>
      </c>
      <c r="D783">
        <v>72.400000000000006</v>
      </c>
      <c r="E783" s="1">
        <v>7</v>
      </c>
      <c r="F783" t="s">
        <v>23</v>
      </c>
      <c r="G783" s="2" t="s">
        <v>14</v>
      </c>
      <c r="H783" s="2" t="s">
        <v>14</v>
      </c>
      <c r="I783" t="s">
        <v>15</v>
      </c>
      <c r="J783">
        <v>60.9</v>
      </c>
      <c r="K783" s="1">
        <v>97.6</v>
      </c>
      <c r="L783" t="s">
        <v>16</v>
      </c>
    </row>
    <row r="784" spans="1:12" x14ac:dyDescent="0.35">
      <c r="A784">
        <v>783</v>
      </c>
      <c r="B784" t="s">
        <v>17</v>
      </c>
      <c r="C784" s="1">
        <v>4.4000000000000004</v>
      </c>
      <c r="D784">
        <v>82.7</v>
      </c>
      <c r="E784" s="1">
        <v>6.7</v>
      </c>
      <c r="F784" t="s">
        <v>13</v>
      </c>
      <c r="G784" s="2" t="s">
        <v>14</v>
      </c>
      <c r="H784" s="2" t="s">
        <v>15</v>
      </c>
      <c r="I784" t="s">
        <v>15</v>
      </c>
      <c r="J784">
        <v>72.7</v>
      </c>
      <c r="K784" s="1">
        <v>90.3</v>
      </c>
      <c r="L784" t="s">
        <v>16</v>
      </c>
    </row>
    <row r="785" spans="1:12" x14ac:dyDescent="0.35">
      <c r="A785">
        <v>784</v>
      </c>
      <c r="B785" t="s">
        <v>17</v>
      </c>
      <c r="C785" s="1">
        <v>4.8</v>
      </c>
      <c r="D785">
        <v>89.7</v>
      </c>
      <c r="E785" s="1">
        <v>6.3</v>
      </c>
      <c r="F785" t="s">
        <v>18</v>
      </c>
      <c r="G785" s="2" t="s">
        <v>14</v>
      </c>
      <c r="H785" s="2" t="s">
        <v>14</v>
      </c>
      <c r="I785" t="s">
        <v>15</v>
      </c>
      <c r="J785">
        <v>46.6</v>
      </c>
      <c r="K785" s="1">
        <v>78.099999999999994</v>
      </c>
      <c r="L785" t="s">
        <v>22</v>
      </c>
    </row>
    <row r="786" spans="1:12" x14ac:dyDescent="0.35">
      <c r="A786">
        <v>785</v>
      </c>
      <c r="B786" t="s">
        <v>17</v>
      </c>
      <c r="C786" s="1">
        <v>4.5999999999999996</v>
      </c>
      <c r="D786">
        <v>94.9</v>
      </c>
      <c r="E786" s="1">
        <v>5.7</v>
      </c>
      <c r="F786" t="s">
        <v>19</v>
      </c>
      <c r="G786" s="2" t="s">
        <v>14</v>
      </c>
      <c r="H786" s="2" t="s">
        <v>14</v>
      </c>
      <c r="I786" t="s">
        <v>15</v>
      </c>
      <c r="J786">
        <v>56.6</v>
      </c>
      <c r="K786" s="1">
        <v>92.6</v>
      </c>
      <c r="L786" t="s">
        <v>16</v>
      </c>
    </row>
    <row r="787" spans="1:12" x14ac:dyDescent="0.35">
      <c r="A787">
        <v>786</v>
      </c>
      <c r="B787" t="s">
        <v>12</v>
      </c>
      <c r="C787" s="1">
        <v>3.9</v>
      </c>
      <c r="D787">
        <v>84.2</v>
      </c>
      <c r="E787" s="1">
        <v>7.5</v>
      </c>
      <c r="F787" t="s">
        <v>13</v>
      </c>
      <c r="G787" s="2" t="s">
        <v>14</v>
      </c>
      <c r="H787" s="2" t="s">
        <v>14</v>
      </c>
      <c r="I787" t="s">
        <v>14</v>
      </c>
      <c r="J787">
        <v>88.5</v>
      </c>
      <c r="K787" s="1">
        <v>97</v>
      </c>
      <c r="L787" t="s">
        <v>16</v>
      </c>
    </row>
    <row r="788" spans="1:12" x14ac:dyDescent="0.35">
      <c r="A788">
        <v>787</v>
      </c>
      <c r="B788" t="s">
        <v>12</v>
      </c>
      <c r="C788" s="1">
        <v>3.7</v>
      </c>
      <c r="D788">
        <v>81.8</v>
      </c>
      <c r="E788" s="1">
        <v>5.2</v>
      </c>
      <c r="F788" t="s">
        <v>13</v>
      </c>
      <c r="G788" s="2" t="s">
        <v>14</v>
      </c>
      <c r="H788" s="2" t="s">
        <v>15</v>
      </c>
      <c r="I788" t="s">
        <v>15</v>
      </c>
      <c r="J788">
        <v>58.9</v>
      </c>
      <c r="K788" s="1">
        <v>77</v>
      </c>
      <c r="L788" t="s">
        <v>22</v>
      </c>
    </row>
    <row r="789" spans="1:12" x14ac:dyDescent="0.35">
      <c r="A789">
        <v>788</v>
      </c>
      <c r="B789" t="s">
        <v>17</v>
      </c>
      <c r="C789" s="1">
        <v>3.4</v>
      </c>
      <c r="D789">
        <v>86.5</v>
      </c>
      <c r="E789" s="1">
        <v>7.7</v>
      </c>
      <c r="F789" t="s">
        <v>18</v>
      </c>
      <c r="G789" s="2" t="s">
        <v>14</v>
      </c>
      <c r="H789" s="2" t="s">
        <v>15</v>
      </c>
      <c r="I789" t="s">
        <v>15</v>
      </c>
      <c r="J789">
        <v>84.9</v>
      </c>
      <c r="K789" s="1">
        <v>96.8</v>
      </c>
      <c r="L789" t="s">
        <v>16</v>
      </c>
    </row>
    <row r="790" spans="1:12" x14ac:dyDescent="0.35">
      <c r="A790">
        <v>789</v>
      </c>
      <c r="B790" t="s">
        <v>17</v>
      </c>
      <c r="C790" s="1">
        <v>2.4</v>
      </c>
      <c r="D790">
        <v>76.599999999999994</v>
      </c>
      <c r="E790" s="1">
        <v>5.6</v>
      </c>
      <c r="F790" t="s">
        <v>13</v>
      </c>
      <c r="G790" s="2" t="s">
        <v>14</v>
      </c>
      <c r="H790" s="2" t="s">
        <v>15</v>
      </c>
      <c r="I790" t="s">
        <v>15</v>
      </c>
      <c r="J790">
        <v>74.3</v>
      </c>
      <c r="K790" s="1">
        <v>72.099999999999994</v>
      </c>
      <c r="L790" t="s">
        <v>22</v>
      </c>
    </row>
    <row r="791" spans="1:12" x14ac:dyDescent="0.35">
      <c r="A791">
        <v>790</v>
      </c>
      <c r="B791" t="s">
        <v>12</v>
      </c>
      <c r="C791" s="1">
        <v>3.1</v>
      </c>
      <c r="D791">
        <v>100</v>
      </c>
      <c r="E791" s="1">
        <v>5.9</v>
      </c>
      <c r="F791" t="s">
        <v>13</v>
      </c>
      <c r="G791" s="2" t="s">
        <v>14</v>
      </c>
      <c r="H791" s="2" t="s">
        <v>15</v>
      </c>
      <c r="I791" t="s">
        <v>15</v>
      </c>
      <c r="J791">
        <v>48.3</v>
      </c>
      <c r="K791" s="1">
        <v>75.400000000000006</v>
      </c>
      <c r="L791" t="s">
        <v>22</v>
      </c>
    </row>
    <row r="792" spans="1:12" x14ac:dyDescent="0.35">
      <c r="A792">
        <v>791</v>
      </c>
      <c r="B792" t="s">
        <v>17</v>
      </c>
      <c r="C792" s="1">
        <v>1</v>
      </c>
      <c r="D792">
        <v>68.900000000000006</v>
      </c>
      <c r="E792" s="1">
        <v>5</v>
      </c>
      <c r="F792" t="s">
        <v>18</v>
      </c>
      <c r="G792" s="2" t="s">
        <v>14</v>
      </c>
      <c r="H792" s="2" t="s">
        <v>14</v>
      </c>
      <c r="I792" t="s">
        <v>15</v>
      </c>
      <c r="J792">
        <v>77.599999999999994</v>
      </c>
      <c r="K792" s="1">
        <v>57.6</v>
      </c>
      <c r="L792" t="s">
        <v>25</v>
      </c>
    </row>
    <row r="793" spans="1:12" x14ac:dyDescent="0.35">
      <c r="A793">
        <v>792</v>
      </c>
      <c r="B793" t="s">
        <v>17</v>
      </c>
      <c r="C793" s="1">
        <v>3.4</v>
      </c>
      <c r="D793">
        <v>86.8</v>
      </c>
      <c r="E793" s="1">
        <v>6.2</v>
      </c>
      <c r="F793" t="s">
        <v>18</v>
      </c>
      <c r="G793" s="2" t="s">
        <v>15</v>
      </c>
      <c r="H793" s="2" t="s">
        <v>15</v>
      </c>
      <c r="I793" t="s">
        <v>14</v>
      </c>
      <c r="J793">
        <v>68.599999999999994</v>
      </c>
      <c r="K793" s="1">
        <v>67.599999999999994</v>
      </c>
      <c r="L793" t="s">
        <v>21</v>
      </c>
    </row>
    <row r="794" spans="1:12" x14ac:dyDescent="0.35">
      <c r="A794">
        <v>793</v>
      </c>
      <c r="B794" t="s">
        <v>12</v>
      </c>
      <c r="C794" s="1">
        <v>2</v>
      </c>
      <c r="D794">
        <v>100</v>
      </c>
      <c r="E794" s="1">
        <v>8</v>
      </c>
      <c r="F794" t="s">
        <v>23</v>
      </c>
      <c r="G794" s="2" t="s">
        <v>14</v>
      </c>
      <c r="H794" s="2" t="s">
        <v>14</v>
      </c>
      <c r="I794" t="s">
        <v>14</v>
      </c>
      <c r="J794">
        <v>64.5</v>
      </c>
      <c r="K794" s="1">
        <v>91.2</v>
      </c>
      <c r="L794" t="s">
        <v>16</v>
      </c>
    </row>
    <row r="795" spans="1:12" x14ac:dyDescent="0.35">
      <c r="A795">
        <v>794</v>
      </c>
      <c r="B795" t="s">
        <v>17</v>
      </c>
      <c r="C795" s="1">
        <v>1.8</v>
      </c>
      <c r="D795">
        <v>85.1</v>
      </c>
      <c r="E795" s="1">
        <v>7.4</v>
      </c>
      <c r="F795" t="s">
        <v>18</v>
      </c>
      <c r="G795" s="2" t="s">
        <v>14</v>
      </c>
      <c r="H795" s="2" t="s">
        <v>14</v>
      </c>
      <c r="I795" t="s">
        <v>14</v>
      </c>
      <c r="J795">
        <v>72.900000000000006</v>
      </c>
      <c r="K795" s="1">
        <v>86.8</v>
      </c>
      <c r="L795" t="s">
        <v>20</v>
      </c>
    </row>
    <row r="796" spans="1:12" x14ac:dyDescent="0.35">
      <c r="A796">
        <v>795</v>
      </c>
      <c r="B796" t="s">
        <v>12</v>
      </c>
      <c r="C796" s="1">
        <v>3.8</v>
      </c>
      <c r="D796">
        <v>83.1</v>
      </c>
      <c r="E796" s="1">
        <v>8</v>
      </c>
      <c r="F796" t="s">
        <v>18</v>
      </c>
      <c r="G796" s="2" t="s">
        <v>14</v>
      </c>
      <c r="H796" s="2" t="s">
        <v>15</v>
      </c>
      <c r="I796" t="s">
        <v>15</v>
      </c>
      <c r="J796">
        <v>75.7</v>
      </c>
      <c r="K796" s="1">
        <v>89.5</v>
      </c>
      <c r="L796" t="s">
        <v>20</v>
      </c>
    </row>
    <row r="797" spans="1:12" x14ac:dyDescent="0.35">
      <c r="A797">
        <v>796</v>
      </c>
      <c r="B797" t="s">
        <v>12</v>
      </c>
      <c r="C797" s="1">
        <v>5.6</v>
      </c>
      <c r="D797">
        <v>81.400000000000006</v>
      </c>
      <c r="E797" s="1">
        <v>7.4</v>
      </c>
      <c r="F797" t="s">
        <v>13</v>
      </c>
      <c r="G797" s="2" t="s">
        <v>14</v>
      </c>
      <c r="H797" s="2" t="s">
        <v>14</v>
      </c>
      <c r="I797" t="s">
        <v>15</v>
      </c>
      <c r="J797">
        <v>78.5</v>
      </c>
      <c r="K797" s="1">
        <v>100</v>
      </c>
      <c r="L797" t="s">
        <v>16</v>
      </c>
    </row>
    <row r="798" spans="1:12" x14ac:dyDescent="0.35">
      <c r="A798">
        <v>797</v>
      </c>
      <c r="B798" t="s">
        <v>12</v>
      </c>
      <c r="C798" s="1">
        <v>4.9000000000000004</v>
      </c>
      <c r="D798">
        <v>83.2</v>
      </c>
      <c r="E798" s="1">
        <v>5.5</v>
      </c>
      <c r="F798" t="s">
        <v>23</v>
      </c>
      <c r="G798" s="2" t="s">
        <v>14</v>
      </c>
      <c r="H798" s="2" t="s">
        <v>15</v>
      </c>
      <c r="I798" t="s">
        <v>15</v>
      </c>
      <c r="J798">
        <v>84.1</v>
      </c>
      <c r="K798" s="1">
        <v>93.4</v>
      </c>
      <c r="L798" t="s">
        <v>16</v>
      </c>
    </row>
    <row r="799" spans="1:12" x14ac:dyDescent="0.35">
      <c r="A799">
        <v>798</v>
      </c>
      <c r="B799" t="s">
        <v>12</v>
      </c>
      <c r="C799" s="1">
        <v>1.1000000000000001</v>
      </c>
      <c r="D799">
        <v>98.7</v>
      </c>
      <c r="E799" s="1">
        <v>6.4</v>
      </c>
      <c r="F799" t="s">
        <v>18</v>
      </c>
      <c r="G799" s="2" t="s">
        <v>14</v>
      </c>
      <c r="H799" s="2" t="s">
        <v>15</v>
      </c>
      <c r="I799" t="s">
        <v>15</v>
      </c>
      <c r="J799">
        <v>74.900000000000006</v>
      </c>
      <c r="K799" s="1">
        <v>78.7</v>
      </c>
      <c r="L799" t="s">
        <v>22</v>
      </c>
    </row>
    <row r="800" spans="1:12" x14ac:dyDescent="0.35">
      <c r="A800">
        <v>799</v>
      </c>
      <c r="B800" t="s">
        <v>12</v>
      </c>
      <c r="C800" s="1">
        <v>2</v>
      </c>
      <c r="D800">
        <v>62.9</v>
      </c>
      <c r="E800" s="1">
        <v>5.9</v>
      </c>
      <c r="F800" t="s">
        <v>13</v>
      </c>
      <c r="G800" s="2" t="s">
        <v>14</v>
      </c>
      <c r="H800" s="2" t="s">
        <v>14</v>
      </c>
      <c r="I800" t="s">
        <v>14</v>
      </c>
      <c r="J800">
        <v>53.5</v>
      </c>
      <c r="K800" s="1">
        <v>60.8</v>
      </c>
      <c r="L800" t="s">
        <v>21</v>
      </c>
    </row>
    <row r="801" spans="1:12" x14ac:dyDescent="0.35">
      <c r="A801">
        <v>800</v>
      </c>
      <c r="B801" t="s">
        <v>12</v>
      </c>
      <c r="C801" s="1">
        <v>4.9000000000000004</v>
      </c>
      <c r="D801">
        <v>100</v>
      </c>
      <c r="E801" s="1">
        <v>8.4</v>
      </c>
      <c r="F801" t="s">
        <v>18</v>
      </c>
      <c r="G801" s="2" t="s">
        <v>14</v>
      </c>
      <c r="H801" s="2" t="s">
        <v>14</v>
      </c>
      <c r="I801" t="s">
        <v>15</v>
      </c>
      <c r="J801">
        <v>64.3</v>
      </c>
      <c r="K801" s="1">
        <v>96.1</v>
      </c>
      <c r="L801" t="s">
        <v>16</v>
      </c>
    </row>
    <row r="802" spans="1:12" x14ac:dyDescent="0.35">
      <c r="A802">
        <v>801</v>
      </c>
      <c r="B802" t="s">
        <v>12</v>
      </c>
      <c r="C802" s="1">
        <v>2</v>
      </c>
      <c r="D802">
        <v>70.8</v>
      </c>
      <c r="E802" s="1">
        <v>5.4</v>
      </c>
      <c r="F802" t="s">
        <v>18</v>
      </c>
      <c r="G802" s="2" t="s">
        <v>14</v>
      </c>
      <c r="H802" s="2" t="s">
        <v>14</v>
      </c>
      <c r="I802" t="s">
        <v>15</v>
      </c>
      <c r="J802">
        <v>100</v>
      </c>
      <c r="K802" s="1">
        <v>83</v>
      </c>
      <c r="L802" t="s">
        <v>20</v>
      </c>
    </row>
    <row r="803" spans="1:12" x14ac:dyDescent="0.35">
      <c r="A803">
        <v>802</v>
      </c>
      <c r="B803" t="s">
        <v>17</v>
      </c>
      <c r="C803" s="1">
        <v>3.2</v>
      </c>
      <c r="D803">
        <v>82.3</v>
      </c>
      <c r="E803" s="1">
        <v>7.9</v>
      </c>
      <c r="F803" t="s">
        <v>18</v>
      </c>
      <c r="G803" s="2" t="s">
        <v>14</v>
      </c>
      <c r="H803" s="2" t="s">
        <v>15</v>
      </c>
      <c r="I803" t="s">
        <v>15</v>
      </c>
      <c r="J803">
        <v>78.7</v>
      </c>
      <c r="K803" s="1">
        <v>94</v>
      </c>
      <c r="L803" t="s">
        <v>16</v>
      </c>
    </row>
    <row r="804" spans="1:12" x14ac:dyDescent="0.35">
      <c r="A804">
        <v>803</v>
      </c>
      <c r="B804" t="s">
        <v>12</v>
      </c>
      <c r="C804" s="1">
        <v>4.3</v>
      </c>
      <c r="D804">
        <v>80.7</v>
      </c>
      <c r="E804" s="1">
        <v>7.9</v>
      </c>
      <c r="F804" t="s">
        <v>23</v>
      </c>
      <c r="G804" s="2" t="s">
        <v>14</v>
      </c>
      <c r="H804" s="2" t="s">
        <v>15</v>
      </c>
      <c r="I804" t="s">
        <v>15</v>
      </c>
      <c r="J804">
        <v>98.4</v>
      </c>
      <c r="K804" s="1">
        <v>100</v>
      </c>
      <c r="L804" t="s">
        <v>16</v>
      </c>
    </row>
    <row r="805" spans="1:12" x14ac:dyDescent="0.35">
      <c r="A805">
        <v>804</v>
      </c>
      <c r="B805" t="s">
        <v>12</v>
      </c>
      <c r="C805" s="1">
        <v>2</v>
      </c>
      <c r="D805">
        <v>90.9</v>
      </c>
      <c r="E805" s="1">
        <v>9</v>
      </c>
      <c r="F805" t="s">
        <v>18</v>
      </c>
      <c r="G805" s="2" t="s">
        <v>14</v>
      </c>
      <c r="H805" s="2" t="s">
        <v>14</v>
      </c>
      <c r="I805" t="s">
        <v>15</v>
      </c>
      <c r="J805">
        <v>86.7</v>
      </c>
      <c r="K805" s="1">
        <v>94.6</v>
      </c>
      <c r="L805" t="s">
        <v>16</v>
      </c>
    </row>
    <row r="806" spans="1:12" x14ac:dyDescent="0.35">
      <c r="A806">
        <v>805</v>
      </c>
      <c r="B806" t="s">
        <v>17</v>
      </c>
      <c r="C806" s="1">
        <v>3.7</v>
      </c>
      <c r="D806">
        <v>69</v>
      </c>
      <c r="E806" s="1">
        <v>6.3</v>
      </c>
      <c r="F806" t="s">
        <v>18</v>
      </c>
      <c r="G806" s="2" t="s">
        <v>14</v>
      </c>
      <c r="H806" s="2" t="s">
        <v>14</v>
      </c>
      <c r="I806" t="s">
        <v>15</v>
      </c>
      <c r="J806">
        <v>72.900000000000006</v>
      </c>
      <c r="K806" s="1">
        <v>87.7</v>
      </c>
      <c r="L806" t="s">
        <v>20</v>
      </c>
    </row>
    <row r="807" spans="1:12" x14ac:dyDescent="0.35">
      <c r="A807">
        <v>806</v>
      </c>
      <c r="B807" t="s">
        <v>17</v>
      </c>
      <c r="C807" s="1">
        <v>1.5</v>
      </c>
      <c r="D807">
        <v>89.6</v>
      </c>
      <c r="E807" s="1">
        <v>7.7</v>
      </c>
      <c r="F807" t="s">
        <v>13</v>
      </c>
      <c r="G807" s="2" t="s">
        <v>14</v>
      </c>
      <c r="H807" s="2" t="s">
        <v>15</v>
      </c>
      <c r="I807" t="s">
        <v>15</v>
      </c>
      <c r="J807">
        <v>73.599999999999994</v>
      </c>
      <c r="K807" s="1">
        <v>82.1</v>
      </c>
      <c r="L807" t="s">
        <v>20</v>
      </c>
    </row>
    <row r="808" spans="1:12" x14ac:dyDescent="0.35">
      <c r="A808">
        <v>807</v>
      </c>
      <c r="B808" t="s">
        <v>17</v>
      </c>
      <c r="C808" s="1">
        <v>2.6</v>
      </c>
      <c r="D808">
        <v>100</v>
      </c>
      <c r="E808" s="1">
        <v>9.5</v>
      </c>
      <c r="F808" t="s">
        <v>23</v>
      </c>
      <c r="G808" s="2" t="s">
        <v>14</v>
      </c>
      <c r="H808" s="2" t="s">
        <v>15</v>
      </c>
      <c r="I808" t="s">
        <v>14</v>
      </c>
      <c r="J808">
        <v>69.599999999999994</v>
      </c>
      <c r="K808" s="1">
        <v>80.099999999999994</v>
      </c>
      <c r="L808" t="s">
        <v>20</v>
      </c>
    </row>
    <row r="809" spans="1:12" x14ac:dyDescent="0.35">
      <c r="A809">
        <v>808</v>
      </c>
      <c r="B809" t="s">
        <v>12</v>
      </c>
      <c r="C809" s="1">
        <v>4</v>
      </c>
      <c r="D809">
        <v>71.400000000000006</v>
      </c>
      <c r="E809" s="1">
        <v>6.1</v>
      </c>
      <c r="F809" t="s">
        <v>18</v>
      </c>
      <c r="G809" s="2" t="s">
        <v>15</v>
      </c>
      <c r="H809" s="2" t="s">
        <v>14</v>
      </c>
      <c r="I809" t="s">
        <v>14</v>
      </c>
      <c r="J809">
        <v>49.1</v>
      </c>
      <c r="K809" s="1">
        <v>57.8</v>
      </c>
      <c r="L809" t="s">
        <v>25</v>
      </c>
    </row>
    <row r="810" spans="1:12" x14ac:dyDescent="0.35">
      <c r="A810">
        <v>809</v>
      </c>
      <c r="B810" t="s">
        <v>17</v>
      </c>
      <c r="C810" s="1">
        <v>1.1000000000000001</v>
      </c>
      <c r="D810">
        <v>86.9</v>
      </c>
      <c r="E810" s="1">
        <v>5</v>
      </c>
      <c r="F810" t="s">
        <v>13</v>
      </c>
      <c r="G810" s="2" t="s">
        <v>14</v>
      </c>
      <c r="H810" s="2" t="s">
        <v>14</v>
      </c>
      <c r="I810" t="s">
        <v>15</v>
      </c>
      <c r="J810">
        <v>70.2</v>
      </c>
      <c r="K810" s="1">
        <v>74.3</v>
      </c>
      <c r="L810" t="s">
        <v>22</v>
      </c>
    </row>
    <row r="811" spans="1:12" x14ac:dyDescent="0.35">
      <c r="A811">
        <v>810</v>
      </c>
      <c r="B811" t="s">
        <v>12</v>
      </c>
      <c r="C811" s="1">
        <v>4.2</v>
      </c>
      <c r="D811">
        <v>78.400000000000006</v>
      </c>
      <c r="E811" s="1">
        <v>4.5</v>
      </c>
      <c r="F811" t="s">
        <v>18</v>
      </c>
      <c r="G811" s="2" t="s">
        <v>15</v>
      </c>
      <c r="H811" s="2" t="s">
        <v>15</v>
      </c>
      <c r="I811" t="s">
        <v>15</v>
      </c>
      <c r="J811">
        <v>84.5</v>
      </c>
      <c r="K811" s="1">
        <v>82.5</v>
      </c>
      <c r="L811" t="s">
        <v>20</v>
      </c>
    </row>
    <row r="812" spans="1:12" x14ac:dyDescent="0.35">
      <c r="A812">
        <v>811</v>
      </c>
      <c r="B812" t="s">
        <v>12</v>
      </c>
      <c r="C812" s="1">
        <v>3.5</v>
      </c>
      <c r="D812">
        <v>89.3</v>
      </c>
      <c r="E812" s="1">
        <v>7.7</v>
      </c>
      <c r="F812" t="s">
        <v>13</v>
      </c>
      <c r="G812" s="2" t="s">
        <v>14</v>
      </c>
      <c r="H812" s="2" t="s">
        <v>14</v>
      </c>
      <c r="I812" t="s">
        <v>15</v>
      </c>
      <c r="J812">
        <v>62.8</v>
      </c>
      <c r="K812" s="1">
        <v>85.9</v>
      </c>
      <c r="L812" t="s">
        <v>20</v>
      </c>
    </row>
    <row r="813" spans="1:12" x14ac:dyDescent="0.35">
      <c r="A813">
        <v>812</v>
      </c>
      <c r="B813" t="s">
        <v>12</v>
      </c>
      <c r="C813" s="1">
        <v>4.3</v>
      </c>
      <c r="D813">
        <v>85.2</v>
      </c>
      <c r="E813" s="1">
        <v>4.5</v>
      </c>
      <c r="F813" t="s">
        <v>13</v>
      </c>
      <c r="G813" s="2" t="s">
        <v>14</v>
      </c>
      <c r="H813" s="2" t="s">
        <v>14</v>
      </c>
      <c r="I813" t="s">
        <v>15</v>
      </c>
      <c r="J813">
        <v>74.900000000000006</v>
      </c>
      <c r="K813" s="1">
        <v>88.4</v>
      </c>
      <c r="L813" t="s">
        <v>20</v>
      </c>
    </row>
    <row r="814" spans="1:12" x14ac:dyDescent="0.35">
      <c r="A814">
        <v>813</v>
      </c>
      <c r="B814" t="s">
        <v>12</v>
      </c>
      <c r="C814" s="1">
        <v>3.8</v>
      </c>
      <c r="D814">
        <v>78.599999999999994</v>
      </c>
      <c r="E814" s="1">
        <v>6.4</v>
      </c>
      <c r="F814" t="s">
        <v>13</v>
      </c>
      <c r="G814" s="2" t="s">
        <v>14</v>
      </c>
      <c r="H814" s="2" t="s">
        <v>15</v>
      </c>
      <c r="I814" t="s">
        <v>15</v>
      </c>
      <c r="J814">
        <v>80.2</v>
      </c>
      <c r="K814" s="1">
        <v>100</v>
      </c>
      <c r="L814" t="s">
        <v>16</v>
      </c>
    </row>
    <row r="815" spans="1:12" x14ac:dyDescent="0.35">
      <c r="A815">
        <v>814</v>
      </c>
      <c r="B815" t="s">
        <v>17</v>
      </c>
      <c r="C815" s="1">
        <v>5.5</v>
      </c>
      <c r="D815">
        <v>89.9</v>
      </c>
      <c r="E815" s="1">
        <v>7.3</v>
      </c>
      <c r="F815" t="s">
        <v>18</v>
      </c>
      <c r="G815" s="2" t="s">
        <v>15</v>
      </c>
      <c r="H815" s="2" t="s">
        <v>15</v>
      </c>
      <c r="I815" t="s">
        <v>14</v>
      </c>
      <c r="J815">
        <v>59.1</v>
      </c>
      <c r="K815" s="1">
        <v>75.599999999999994</v>
      </c>
      <c r="L815" t="s">
        <v>22</v>
      </c>
    </row>
    <row r="816" spans="1:12" x14ac:dyDescent="0.35">
      <c r="A816">
        <v>815</v>
      </c>
      <c r="B816" t="s">
        <v>17</v>
      </c>
      <c r="C816" s="1">
        <v>3.7</v>
      </c>
      <c r="D816">
        <v>100</v>
      </c>
      <c r="E816" s="1">
        <v>7</v>
      </c>
      <c r="F816" t="s">
        <v>18</v>
      </c>
      <c r="G816" s="2" t="s">
        <v>14</v>
      </c>
      <c r="H816" s="2" t="s">
        <v>14</v>
      </c>
      <c r="I816" t="s">
        <v>15</v>
      </c>
      <c r="J816">
        <v>64.599999999999994</v>
      </c>
      <c r="K816" s="1">
        <v>78</v>
      </c>
      <c r="L816" t="s">
        <v>22</v>
      </c>
    </row>
    <row r="817" spans="1:12" x14ac:dyDescent="0.35">
      <c r="A817">
        <v>816</v>
      </c>
      <c r="B817" t="s">
        <v>12</v>
      </c>
      <c r="C817" s="1">
        <v>2.9</v>
      </c>
      <c r="D817">
        <v>83.1</v>
      </c>
      <c r="E817" s="1">
        <v>7.3</v>
      </c>
      <c r="F817" t="s">
        <v>18</v>
      </c>
      <c r="G817" s="2" t="s">
        <v>14</v>
      </c>
      <c r="H817" s="2" t="s">
        <v>14</v>
      </c>
      <c r="I817" t="s">
        <v>15</v>
      </c>
      <c r="J817">
        <v>57.8</v>
      </c>
      <c r="K817" s="1">
        <v>80</v>
      </c>
      <c r="L817" t="s">
        <v>20</v>
      </c>
    </row>
    <row r="818" spans="1:12" x14ac:dyDescent="0.35">
      <c r="A818">
        <v>817</v>
      </c>
      <c r="B818" t="s">
        <v>12</v>
      </c>
      <c r="C818" s="1">
        <v>3.7</v>
      </c>
      <c r="D818">
        <v>92.2</v>
      </c>
      <c r="E818" s="1">
        <v>7.1</v>
      </c>
      <c r="F818" t="s">
        <v>13</v>
      </c>
      <c r="G818" s="2" t="s">
        <v>14</v>
      </c>
      <c r="H818" s="2" t="s">
        <v>14</v>
      </c>
      <c r="I818" t="s">
        <v>14</v>
      </c>
      <c r="J818">
        <v>60.1</v>
      </c>
      <c r="K818" s="1">
        <v>80.2</v>
      </c>
      <c r="L818" t="s">
        <v>20</v>
      </c>
    </row>
    <row r="819" spans="1:12" x14ac:dyDescent="0.35">
      <c r="A819">
        <v>818</v>
      </c>
      <c r="B819" t="s">
        <v>12</v>
      </c>
      <c r="C819" s="1">
        <v>4.3</v>
      </c>
      <c r="D819">
        <v>72.099999999999994</v>
      </c>
      <c r="E819" s="1">
        <v>8.3000000000000007</v>
      </c>
      <c r="F819" t="s">
        <v>18</v>
      </c>
      <c r="G819" s="2" t="s">
        <v>14</v>
      </c>
      <c r="H819" s="2" t="s">
        <v>14</v>
      </c>
      <c r="I819" t="s">
        <v>15</v>
      </c>
      <c r="J819">
        <v>54.5</v>
      </c>
      <c r="K819" s="1">
        <v>82.2</v>
      </c>
      <c r="L819" t="s">
        <v>20</v>
      </c>
    </row>
    <row r="820" spans="1:12" x14ac:dyDescent="0.35">
      <c r="A820">
        <v>819</v>
      </c>
      <c r="B820" t="s">
        <v>17</v>
      </c>
      <c r="C820" s="1">
        <v>3.6</v>
      </c>
      <c r="D820">
        <v>75.400000000000006</v>
      </c>
      <c r="E820" s="1">
        <v>5.7</v>
      </c>
      <c r="F820" t="s">
        <v>23</v>
      </c>
      <c r="G820" s="2" t="s">
        <v>14</v>
      </c>
      <c r="H820" s="2" t="s">
        <v>15</v>
      </c>
      <c r="I820" t="s">
        <v>15</v>
      </c>
      <c r="J820">
        <v>59.2</v>
      </c>
      <c r="K820" s="1">
        <v>79.599999999999994</v>
      </c>
      <c r="L820" t="s">
        <v>22</v>
      </c>
    </row>
    <row r="821" spans="1:12" x14ac:dyDescent="0.35">
      <c r="A821">
        <v>820</v>
      </c>
      <c r="B821" t="s">
        <v>12</v>
      </c>
      <c r="C821" s="1">
        <v>3.6</v>
      </c>
      <c r="D821">
        <v>89.7</v>
      </c>
      <c r="E821" s="1">
        <v>6</v>
      </c>
      <c r="F821" t="s">
        <v>19</v>
      </c>
      <c r="G821" s="2" t="s">
        <v>15</v>
      </c>
      <c r="H821" s="2" t="s">
        <v>14</v>
      </c>
      <c r="I821" t="s">
        <v>15</v>
      </c>
      <c r="J821">
        <v>87</v>
      </c>
      <c r="K821" s="1">
        <v>96.3</v>
      </c>
      <c r="L821" t="s">
        <v>16</v>
      </c>
    </row>
    <row r="822" spans="1:12" x14ac:dyDescent="0.35">
      <c r="A822">
        <v>821</v>
      </c>
      <c r="B822" t="s">
        <v>12</v>
      </c>
      <c r="C822" s="1">
        <v>2.4</v>
      </c>
      <c r="D822">
        <v>99.8</v>
      </c>
      <c r="E822" s="1">
        <v>5.9</v>
      </c>
      <c r="F822" t="s">
        <v>19</v>
      </c>
      <c r="G822" s="2" t="s">
        <v>15</v>
      </c>
      <c r="H822" s="2" t="s">
        <v>15</v>
      </c>
      <c r="I822" t="s">
        <v>15</v>
      </c>
      <c r="J822">
        <v>59</v>
      </c>
      <c r="K822" s="1">
        <v>65.400000000000006</v>
      </c>
      <c r="L822" t="s">
        <v>21</v>
      </c>
    </row>
    <row r="823" spans="1:12" x14ac:dyDescent="0.35">
      <c r="A823">
        <v>822</v>
      </c>
      <c r="B823" t="s">
        <v>17</v>
      </c>
      <c r="C823" s="1">
        <v>2.5</v>
      </c>
      <c r="D823">
        <v>88.6</v>
      </c>
      <c r="E823" s="1">
        <v>7.8</v>
      </c>
      <c r="F823" t="s">
        <v>24</v>
      </c>
      <c r="G823" s="2" t="s">
        <v>14</v>
      </c>
      <c r="H823" s="2" t="s">
        <v>15</v>
      </c>
      <c r="I823" t="s">
        <v>15</v>
      </c>
      <c r="J823">
        <v>71.5</v>
      </c>
      <c r="K823" s="1">
        <v>79.900000000000006</v>
      </c>
      <c r="L823" t="s">
        <v>22</v>
      </c>
    </row>
    <row r="824" spans="1:12" x14ac:dyDescent="0.35">
      <c r="A824">
        <v>823</v>
      </c>
      <c r="B824" t="s">
        <v>17</v>
      </c>
      <c r="C824" s="1">
        <v>1.4</v>
      </c>
      <c r="D824">
        <v>81.900000000000006</v>
      </c>
      <c r="E824" s="1">
        <v>7.9</v>
      </c>
      <c r="F824" t="s">
        <v>13</v>
      </c>
      <c r="G824" s="2" t="s">
        <v>15</v>
      </c>
      <c r="H824" s="2" t="s">
        <v>14</v>
      </c>
      <c r="I824" t="s">
        <v>15</v>
      </c>
      <c r="J824">
        <v>64</v>
      </c>
      <c r="K824" s="1">
        <v>71.599999999999994</v>
      </c>
      <c r="L824" t="s">
        <v>22</v>
      </c>
    </row>
    <row r="825" spans="1:12" x14ac:dyDescent="0.35">
      <c r="A825">
        <v>824</v>
      </c>
      <c r="B825" t="s">
        <v>12</v>
      </c>
      <c r="C825" s="1">
        <v>6.1</v>
      </c>
      <c r="D825">
        <v>85</v>
      </c>
      <c r="E825" s="1">
        <v>7.3</v>
      </c>
      <c r="F825" t="s">
        <v>23</v>
      </c>
      <c r="G825" s="2" t="s">
        <v>14</v>
      </c>
      <c r="H825" s="2" t="s">
        <v>14</v>
      </c>
      <c r="I825" t="s">
        <v>15</v>
      </c>
      <c r="J825">
        <v>84.1</v>
      </c>
      <c r="K825" s="1">
        <v>100</v>
      </c>
      <c r="L825" t="s">
        <v>16</v>
      </c>
    </row>
    <row r="826" spans="1:12" x14ac:dyDescent="0.35">
      <c r="A826">
        <v>825</v>
      </c>
      <c r="B826" t="s">
        <v>17</v>
      </c>
      <c r="C826" s="1">
        <v>1.6</v>
      </c>
      <c r="D826">
        <v>72.5</v>
      </c>
      <c r="E826" s="1">
        <v>8.1999999999999993</v>
      </c>
      <c r="F826" t="s">
        <v>18</v>
      </c>
      <c r="G826" s="2" t="s">
        <v>14</v>
      </c>
      <c r="H826" s="2" t="s">
        <v>14</v>
      </c>
      <c r="I826" t="s">
        <v>15</v>
      </c>
      <c r="J826">
        <v>85.7</v>
      </c>
      <c r="K826" s="1">
        <v>93.9</v>
      </c>
      <c r="L826" t="s">
        <v>16</v>
      </c>
    </row>
    <row r="827" spans="1:12" x14ac:dyDescent="0.35">
      <c r="A827">
        <v>826</v>
      </c>
      <c r="B827" t="s">
        <v>17</v>
      </c>
      <c r="C827" s="1">
        <v>2.5</v>
      </c>
      <c r="D827">
        <v>91</v>
      </c>
      <c r="E827" s="1">
        <v>5.4</v>
      </c>
      <c r="F827" t="s">
        <v>13</v>
      </c>
      <c r="G827" s="2" t="s">
        <v>14</v>
      </c>
      <c r="H827" s="2" t="s">
        <v>15</v>
      </c>
      <c r="I827" t="s">
        <v>14</v>
      </c>
      <c r="J827">
        <v>80.400000000000006</v>
      </c>
      <c r="K827" s="1">
        <v>87.5</v>
      </c>
      <c r="L827" t="s">
        <v>20</v>
      </c>
    </row>
    <row r="828" spans="1:12" x14ac:dyDescent="0.35">
      <c r="A828">
        <v>827</v>
      </c>
      <c r="B828" t="s">
        <v>12</v>
      </c>
      <c r="C828" s="1">
        <v>2.4</v>
      </c>
      <c r="D828">
        <v>93.8</v>
      </c>
      <c r="E828" s="1">
        <v>8.8000000000000007</v>
      </c>
      <c r="F828" t="s">
        <v>13</v>
      </c>
      <c r="G828" s="2" t="s">
        <v>14</v>
      </c>
      <c r="H828" s="2" t="s">
        <v>15</v>
      </c>
      <c r="I828" t="s">
        <v>15</v>
      </c>
      <c r="J828">
        <v>73.7</v>
      </c>
      <c r="K828" s="1">
        <v>86.3</v>
      </c>
      <c r="L828" t="s">
        <v>20</v>
      </c>
    </row>
    <row r="829" spans="1:12" x14ac:dyDescent="0.35">
      <c r="A829">
        <v>828</v>
      </c>
      <c r="B829" t="s">
        <v>17</v>
      </c>
      <c r="C829" s="1">
        <v>4.8</v>
      </c>
      <c r="D829">
        <v>80.5</v>
      </c>
      <c r="E829" s="1">
        <v>8.6</v>
      </c>
      <c r="F829" t="s">
        <v>13</v>
      </c>
      <c r="G829" s="2" t="s">
        <v>15</v>
      </c>
      <c r="H829" s="2" t="s">
        <v>14</v>
      </c>
      <c r="I829" t="s">
        <v>14</v>
      </c>
      <c r="J829">
        <v>67.2</v>
      </c>
      <c r="K829" s="1">
        <v>77.599999999999994</v>
      </c>
      <c r="L829" t="s">
        <v>22</v>
      </c>
    </row>
    <row r="830" spans="1:12" x14ac:dyDescent="0.35">
      <c r="A830">
        <v>829</v>
      </c>
      <c r="B830" t="s">
        <v>12</v>
      </c>
      <c r="C830" s="1">
        <v>3.1</v>
      </c>
      <c r="D830">
        <v>80.3</v>
      </c>
      <c r="E830" s="1">
        <v>7.7</v>
      </c>
      <c r="F830" t="s">
        <v>23</v>
      </c>
      <c r="G830" s="2" t="s">
        <v>14</v>
      </c>
      <c r="H830" s="2" t="s">
        <v>15</v>
      </c>
      <c r="I830" t="s">
        <v>14</v>
      </c>
      <c r="J830">
        <v>55.7</v>
      </c>
      <c r="K830" s="1">
        <v>70.2</v>
      </c>
      <c r="L830" t="s">
        <v>22</v>
      </c>
    </row>
    <row r="831" spans="1:12" x14ac:dyDescent="0.35">
      <c r="A831">
        <v>830</v>
      </c>
      <c r="B831" t="s">
        <v>17</v>
      </c>
      <c r="C831" s="1">
        <v>5.4</v>
      </c>
      <c r="D831">
        <v>87.7</v>
      </c>
      <c r="E831" s="1">
        <v>8.9</v>
      </c>
      <c r="F831" t="s">
        <v>18</v>
      </c>
      <c r="G831" s="2" t="s">
        <v>14</v>
      </c>
      <c r="H831" s="2" t="s">
        <v>15</v>
      </c>
      <c r="I831" t="s">
        <v>15</v>
      </c>
      <c r="J831">
        <v>93.3</v>
      </c>
      <c r="K831" s="1">
        <v>100</v>
      </c>
      <c r="L831" t="s">
        <v>16</v>
      </c>
    </row>
    <row r="832" spans="1:12" x14ac:dyDescent="0.35">
      <c r="A832">
        <v>831</v>
      </c>
      <c r="B832" t="s">
        <v>12</v>
      </c>
      <c r="C832" s="1">
        <v>2.5</v>
      </c>
      <c r="D832">
        <v>80.599999999999994</v>
      </c>
      <c r="E832" s="1">
        <v>4.8</v>
      </c>
      <c r="F832" t="s">
        <v>18</v>
      </c>
      <c r="G832" s="2" t="s">
        <v>14</v>
      </c>
      <c r="H832" s="2" t="s">
        <v>15</v>
      </c>
      <c r="I832" t="s">
        <v>14</v>
      </c>
      <c r="J832">
        <v>60.9</v>
      </c>
      <c r="K832" s="1">
        <v>73.5</v>
      </c>
      <c r="L832" t="s">
        <v>22</v>
      </c>
    </row>
    <row r="833" spans="1:12" x14ac:dyDescent="0.35">
      <c r="A833">
        <v>832</v>
      </c>
      <c r="B833" t="s">
        <v>12</v>
      </c>
      <c r="C833" s="1">
        <v>3.9</v>
      </c>
      <c r="D833">
        <v>84.3</v>
      </c>
      <c r="E833" s="1">
        <v>6.2</v>
      </c>
      <c r="F833" t="s">
        <v>19</v>
      </c>
      <c r="G833" s="2" t="s">
        <v>14</v>
      </c>
      <c r="H833" s="2" t="s">
        <v>14</v>
      </c>
      <c r="I833" t="s">
        <v>15</v>
      </c>
      <c r="J833">
        <v>78</v>
      </c>
      <c r="K833" s="1">
        <v>91.2</v>
      </c>
      <c r="L833" t="s">
        <v>16</v>
      </c>
    </row>
    <row r="834" spans="1:12" x14ac:dyDescent="0.35">
      <c r="A834">
        <v>833</v>
      </c>
      <c r="B834" t="s">
        <v>12</v>
      </c>
      <c r="C834" s="1">
        <v>2.2000000000000002</v>
      </c>
      <c r="D834">
        <v>100</v>
      </c>
      <c r="E834" s="1">
        <v>5.9</v>
      </c>
      <c r="F834" t="s">
        <v>18</v>
      </c>
      <c r="G834" s="2" t="s">
        <v>14</v>
      </c>
      <c r="H834" s="2" t="s">
        <v>14</v>
      </c>
      <c r="I834" t="s">
        <v>14</v>
      </c>
      <c r="J834">
        <v>82.7</v>
      </c>
      <c r="K834" s="1">
        <v>78.099999999999994</v>
      </c>
      <c r="L834" t="s">
        <v>22</v>
      </c>
    </row>
    <row r="835" spans="1:12" x14ac:dyDescent="0.35">
      <c r="A835">
        <v>834</v>
      </c>
      <c r="B835" t="s">
        <v>17</v>
      </c>
      <c r="C835" s="1">
        <v>6.7</v>
      </c>
      <c r="D835">
        <v>82.5</v>
      </c>
      <c r="E835" s="1">
        <v>7.7</v>
      </c>
      <c r="F835" t="s">
        <v>13</v>
      </c>
      <c r="G835" s="2" t="s">
        <v>15</v>
      </c>
      <c r="H835" s="2" t="s">
        <v>15</v>
      </c>
      <c r="I835" t="s">
        <v>15</v>
      </c>
      <c r="J835">
        <v>63.3</v>
      </c>
      <c r="K835" s="1">
        <v>89</v>
      </c>
      <c r="L835" t="s">
        <v>20</v>
      </c>
    </row>
    <row r="836" spans="1:12" x14ac:dyDescent="0.35">
      <c r="A836">
        <v>835</v>
      </c>
      <c r="B836" t="s">
        <v>12</v>
      </c>
      <c r="C836" s="1">
        <v>1.7</v>
      </c>
      <c r="D836">
        <v>81.400000000000006</v>
      </c>
      <c r="E836" s="1">
        <v>5.5</v>
      </c>
      <c r="F836" t="s">
        <v>19</v>
      </c>
      <c r="G836" s="2" t="s">
        <v>14</v>
      </c>
      <c r="H836" s="2" t="s">
        <v>14</v>
      </c>
      <c r="I836" t="s">
        <v>14</v>
      </c>
      <c r="J836">
        <v>82.5</v>
      </c>
      <c r="K836" s="1">
        <v>82</v>
      </c>
      <c r="L836" t="s">
        <v>20</v>
      </c>
    </row>
    <row r="837" spans="1:12" x14ac:dyDescent="0.35">
      <c r="A837">
        <v>836</v>
      </c>
      <c r="B837" t="s">
        <v>17</v>
      </c>
      <c r="C837" s="1">
        <v>4</v>
      </c>
      <c r="D837">
        <v>78.5</v>
      </c>
      <c r="E837" s="1">
        <v>7.7</v>
      </c>
      <c r="F837" t="s">
        <v>13</v>
      </c>
      <c r="G837" s="2" t="s">
        <v>14</v>
      </c>
      <c r="H837" s="2" t="s">
        <v>14</v>
      </c>
      <c r="I837" t="s">
        <v>14</v>
      </c>
      <c r="J837">
        <v>79.2</v>
      </c>
      <c r="K837" s="1">
        <v>89.5</v>
      </c>
      <c r="L837" t="s">
        <v>20</v>
      </c>
    </row>
    <row r="838" spans="1:12" x14ac:dyDescent="0.35">
      <c r="A838">
        <v>837</v>
      </c>
      <c r="B838" t="s">
        <v>12</v>
      </c>
      <c r="C838" s="1">
        <v>4.5</v>
      </c>
      <c r="D838">
        <v>92.4</v>
      </c>
      <c r="E838" s="1">
        <v>8.4</v>
      </c>
      <c r="F838" t="s">
        <v>13</v>
      </c>
      <c r="G838" s="2" t="s">
        <v>14</v>
      </c>
      <c r="H838" s="2" t="s">
        <v>14</v>
      </c>
      <c r="I838" t="s">
        <v>14</v>
      </c>
      <c r="J838">
        <v>90.7</v>
      </c>
      <c r="K838" s="1">
        <v>100</v>
      </c>
      <c r="L838" t="s">
        <v>16</v>
      </c>
    </row>
    <row r="839" spans="1:12" x14ac:dyDescent="0.35">
      <c r="A839">
        <v>838</v>
      </c>
      <c r="B839" t="s">
        <v>12</v>
      </c>
      <c r="C839" s="1">
        <v>4.0999999999999996</v>
      </c>
      <c r="D839">
        <v>83.2</v>
      </c>
      <c r="E839" s="1">
        <v>7.6</v>
      </c>
      <c r="F839" t="s">
        <v>18</v>
      </c>
      <c r="G839" s="2" t="s">
        <v>14</v>
      </c>
      <c r="H839" s="2" t="s">
        <v>14</v>
      </c>
      <c r="I839" t="s">
        <v>15</v>
      </c>
      <c r="J839">
        <v>64.400000000000006</v>
      </c>
      <c r="K839" s="1">
        <v>88.7</v>
      </c>
      <c r="L839" t="s">
        <v>20</v>
      </c>
    </row>
    <row r="840" spans="1:12" x14ac:dyDescent="0.35">
      <c r="A840">
        <v>839</v>
      </c>
      <c r="B840" t="s">
        <v>17</v>
      </c>
      <c r="C840" s="1">
        <v>3.2</v>
      </c>
      <c r="D840">
        <v>78.5</v>
      </c>
      <c r="E840" s="1">
        <v>7.1</v>
      </c>
      <c r="F840" t="s">
        <v>18</v>
      </c>
      <c r="G840" s="2" t="s">
        <v>14</v>
      </c>
      <c r="H840" s="2" t="s">
        <v>14</v>
      </c>
      <c r="I840" t="s">
        <v>15</v>
      </c>
      <c r="J840">
        <v>54.6</v>
      </c>
      <c r="K840" s="1">
        <v>86</v>
      </c>
      <c r="L840" t="s">
        <v>20</v>
      </c>
    </row>
    <row r="841" spans="1:12" x14ac:dyDescent="0.35">
      <c r="A841">
        <v>840</v>
      </c>
      <c r="B841" t="s">
        <v>12</v>
      </c>
      <c r="C841" s="1">
        <v>3.3</v>
      </c>
      <c r="D841">
        <v>98.2</v>
      </c>
      <c r="E841" s="1">
        <v>5.6</v>
      </c>
      <c r="F841" t="s">
        <v>24</v>
      </c>
      <c r="G841" s="2" t="s">
        <v>14</v>
      </c>
      <c r="H841" s="2" t="s">
        <v>15</v>
      </c>
      <c r="I841" t="s">
        <v>14</v>
      </c>
      <c r="J841">
        <v>63.9</v>
      </c>
      <c r="K841" s="1">
        <v>82.9</v>
      </c>
      <c r="L841" t="s">
        <v>20</v>
      </c>
    </row>
    <row r="842" spans="1:12" x14ac:dyDescent="0.35">
      <c r="A842">
        <v>841</v>
      </c>
      <c r="B842" t="s">
        <v>12</v>
      </c>
      <c r="C842" s="1">
        <v>3.6</v>
      </c>
      <c r="D842">
        <v>99.2</v>
      </c>
      <c r="E842" s="1">
        <v>5.8</v>
      </c>
      <c r="F842" t="s">
        <v>13</v>
      </c>
      <c r="G842" s="2" t="s">
        <v>14</v>
      </c>
      <c r="H842" s="2" t="s">
        <v>14</v>
      </c>
      <c r="I842" t="s">
        <v>15</v>
      </c>
      <c r="J842">
        <v>72.5</v>
      </c>
      <c r="K842" s="1">
        <v>88.6</v>
      </c>
      <c r="L842" t="s">
        <v>20</v>
      </c>
    </row>
    <row r="843" spans="1:12" x14ac:dyDescent="0.35">
      <c r="A843">
        <v>842</v>
      </c>
      <c r="B843" t="s">
        <v>17</v>
      </c>
      <c r="C843" s="1">
        <v>3.3</v>
      </c>
      <c r="D843">
        <v>79</v>
      </c>
      <c r="E843" s="1">
        <v>8.3000000000000007</v>
      </c>
      <c r="F843" t="s">
        <v>13</v>
      </c>
      <c r="G843" s="2" t="s">
        <v>14</v>
      </c>
      <c r="H843" s="2" t="s">
        <v>14</v>
      </c>
      <c r="I843" t="s">
        <v>15</v>
      </c>
      <c r="J843">
        <v>70.7</v>
      </c>
      <c r="K843" s="1">
        <v>79.2</v>
      </c>
      <c r="L843" t="s">
        <v>22</v>
      </c>
    </row>
    <row r="844" spans="1:12" x14ac:dyDescent="0.35">
      <c r="A844">
        <v>843</v>
      </c>
      <c r="B844" t="s">
        <v>12</v>
      </c>
      <c r="C844" s="1">
        <v>4.9000000000000004</v>
      </c>
      <c r="D844">
        <v>66.3</v>
      </c>
      <c r="E844" s="1">
        <v>7.7</v>
      </c>
      <c r="F844" t="s">
        <v>18</v>
      </c>
      <c r="G844" s="2" t="s">
        <v>14</v>
      </c>
      <c r="H844" s="2" t="s">
        <v>15</v>
      </c>
      <c r="I844" t="s">
        <v>15</v>
      </c>
      <c r="J844">
        <v>65.3</v>
      </c>
      <c r="K844" s="1">
        <v>85.1</v>
      </c>
      <c r="L844" t="s">
        <v>20</v>
      </c>
    </row>
    <row r="845" spans="1:12" x14ac:dyDescent="0.35">
      <c r="A845">
        <v>844</v>
      </c>
      <c r="B845" t="s">
        <v>12</v>
      </c>
      <c r="C845" s="1">
        <v>6.8</v>
      </c>
      <c r="D845">
        <v>95.1</v>
      </c>
      <c r="E845" s="1">
        <v>6.8</v>
      </c>
      <c r="F845" t="s">
        <v>18</v>
      </c>
      <c r="G845" s="2" t="s">
        <v>14</v>
      </c>
      <c r="H845" s="2" t="s">
        <v>14</v>
      </c>
      <c r="I845" t="s">
        <v>15</v>
      </c>
      <c r="J845">
        <v>47.1</v>
      </c>
      <c r="K845" s="1">
        <v>80.2</v>
      </c>
      <c r="L845" t="s">
        <v>20</v>
      </c>
    </row>
    <row r="846" spans="1:12" x14ac:dyDescent="0.35">
      <c r="A846">
        <v>845</v>
      </c>
      <c r="B846" t="s">
        <v>12</v>
      </c>
      <c r="C846" s="1">
        <v>2.7</v>
      </c>
      <c r="D846">
        <v>78.2</v>
      </c>
      <c r="E846" s="1">
        <v>6.3</v>
      </c>
      <c r="F846" t="s">
        <v>19</v>
      </c>
      <c r="G846" s="2" t="s">
        <v>14</v>
      </c>
      <c r="H846" s="2" t="s">
        <v>14</v>
      </c>
      <c r="I846" t="s">
        <v>15</v>
      </c>
      <c r="J846">
        <v>75.599999999999994</v>
      </c>
      <c r="K846" s="1">
        <v>80.2</v>
      </c>
      <c r="L846" t="s">
        <v>20</v>
      </c>
    </row>
    <row r="847" spans="1:12" x14ac:dyDescent="0.35">
      <c r="A847">
        <v>846</v>
      </c>
      <c r="B847" t="s">
        <v>12</v>
      </c>
      <c r="C847" s="1">
        <v>1.4</v>
      </c>
      <c r="D847">
        <v>92.9</v>
      </c>
      <c r="E847" s="1">
        <v>4.4000000000000004</v>
      </c>
      <c r="F847" t="s">
        <v>13</v>
      </c>
      <c r="G847" s="2" t="s">
        <v>14</v>
      </c>
      <c r="H847" s="2" t="s">
        <v>15</v>
      </c>
      <c r="I847" t="s">
        <v>14</v>
      </c>
      <c r="J847">
        <v>93.7</v>
      </c>
      <c r="K847" s="1">
        <v>80.3</v>
      </c>
      <c r="L847" t="s">
        <v>20</v>
      </c>
    </row>
    <row r="848" spans="1:12" x14ac:dyDescent="0.35">
      <c r="A848">
        <v>847</v>
      </c>
      <c r="B848" t="s">
        <v>17</v>
      </c>
      <c r="C848" s="1">
        <v>3.4</v>
      </c>
      <c r="D848">
        <v>65.3</v>
      </c>
      <c r="E848" s="1">
        <v>5.5</v>
      </c>
      <c r="F848" t="s">
        <v>13</v>
      </c>
      <c r="G848" s="2" t="s">
        <v>14</v>
      </c>
      <c r="H848" s="2" t="s">
        <v>15</v>
      </c>
      <c r="I848" t="s">
        <v>15</v>
      </c>
      <c r="J848">
        <v>75.599999999999994</v>
      </c>
      <c r="K848" s="1">
        <v>69.8</v>
      </c>
      <c r="L848" t="s">
        <v>21</v>
      </c>
    </row>
    <row r="849" spans="1:12" x14ac:dyDescent="0.35">
      <c r="A849">
        <v>848</v>
      </c>
      <c r="B849" t="s">
        <v>17</v>
      </c>
      <c r="C849" s="1">
        <v>7.4</v>
      </c>
      <c r="D849">
        <v>93.9</v>
      </c>
      <c r="E849" s="1">
        <v>9.1</v>
      </c>
      <c r="F849" t="s">
        <v>18</v>
      </c>
      <c r="G849" s="2" t="s">
        <v>15</v>
      </c>
      <c r="H849" s="2" t="s">
        <v>15</v>
      </c>
      <c r="I849" t="s">
        <v>15</v>
      </c>
      <c r="J849">
        <v>77.3</v>
      </c>
      <c r="K849" s="1">
        <v>100</v>
      </c>
      <c r="L849" t="s">
        <v>16</v>
      </c>
    </row>
    <row r="850" spans="1:12" x14ac:dyDescent="0.35">
      <c r="A850">
        <v>849</v>
      </c>
      <c r="B850" t="s">
        <v>12</v>
      </c>
      <c r="C850" s="1">
        <v>2.2999999999999998</v>
      </c>
      <c r="D850">
        <v>72.900000000000006</v>
      </c>
      <c r="E850" s="1">
        <v>5.3</v>
      </c>
      <c r="F850" t="s">
        <v>23</v>
      </c>
      <c r="G850" s="2" t="s">
        <v>14</v>
      </c>
      <c r="H850" s="2" t="s">
        <v>15</v>
      </c>
      <c r="I850" t="s">
        <v>15</v>
      </c>
      <c r="J850">
        <v>76.900000000000006</v>
      </c>
      <c r="K850" s="1">
        <v>80.8</v>
      </c>
      <c r="L850" t="s">
        <v>20</v>
      </c>
    </row>
    <row r="851" spans="1:12" x14ac:dyDescent="0.35">
      <c r="A851">
        <v>850</v>
      </c>
      <c r="B851" t="s">
        <v>17</v>
      </c>
      <c r="C851" s="1">
        <v>6</v>
      </c>
      <c r="D851">
        <v>92.3</v>
      </c>
      <c r="E851" s="1">
        <v>7</v>
      </c>
      <c r="F851" t="s">
        <v>19</v>
      </c>
      <c r="G851" s="2" t="s">
        <v>14</v>
      </c>
      <c r="H851" s="2" t="s">
        <v>14</v>
      </c>
      <c r="I851" t="s">
        <v>14</v>
      </c>
      <c r="J851">
        <v>74.8</v>
      </c>
      <c r="K851" s="1">
        <v>100</v>
      </c>
      <c r="L851" t="s">
        <v>16</v>
      </c>
    </row>
    <row r="852" spans="1:12" x14ac:dyDescent="0.35">
      <c r="A852">
        <v>851</v>
      </c>
      <c r="B852" t="s">
        <v>12</v>
      </c>
      <c r="C852" s="1">
        <v>6</v>
      </c>
      <c r="D852">
        <v>85.1</v>
      </c>
      <c r="E852" s="1">
        <v>8</v>
      </c>
      <c r="F852" t="s">
        <v>13</v>
      </c>
      <c r="G852" s="2" t="s">
        <v>14</v>
      </c>
      <c r="H852" s="2" t="s">
        <v>15</v>
      </c>
      <c r="I852" t="s">
        <v>14</v>
      </c>
      <c r="J852">
        <v>81.2</v>
      </c>
      <c r="K852" s="1">
        <v>99.5</v>
      </c>
      <c r="L852" t="s">
        <v>16</v>
      </c>
    </row>
    <row r="853" spans="1:12" x14ac:dyDescent="0.35">
      <c r="A853">
        <v>852</v>
      </c>
      <c r="B853" t="s">
        <v>17</v>
      </c>
      <c r="C853" s="1">
        <v>2.7</v>
      </c>
      <c r="D853">
        <v>75.5</v>
      </c>
      <c r="E853" s="1">
        <v>5.3</v>
      </c>
      <c r="F853" t="s">
        <v>18</v>
      </c>
      <c r="G853" s="2" t="s">
        <v>14</v>
      </c>
      <c r="H853" s="2" t="s">
        <v>14</v>
      </c>
      <c r="I853" t="s">
        <v>15</v>
      </c>
      <c r="J853">
        <v>74.7</v>
      </c>
      <c r="K853" s="1">
        <v>80.7</v>
      </c>
      <c r="L853" t="s">
        <v>20</v>
      </c>
    </row>
    <row r="854" spans="1:12" x14ac:dyDescent="0.35">
      <c r="A854">
        <v>853</v>
      </c>
      <c r="B854" t="s">
        <v>12</v>
      </c>
      <c r="C854" s="1">
        <v>4.4000000000000004</v>
      </c>
      <c r="D854">
        <v>80.900000000000006</v>
      </c>
      <c r="E854" s="1">
        <v>7</v>
      </c>
      <c r="F854" t="s">
        <v>13</v>
      </c>
      <c r="G854" s="2" t="s">
        <v>14</v>
      </c>
      <c r="H854" s="2" t="s">
        <v>15</v>
      </c>
      <c r="I854" t="s">
        <v>15</v>
      </c>
      <c r="J854">
        <v>66.2</v>
      </c>
      <c r="K854" s="1">
        <v>86.6</v>
      </c>
      <c r="L854" t="s">
        <v>20</v>
      </c>
    </row>
    <row r="855" spans="1:12" x14ac:dyDescent="0.35">
      <c r="A855">
        <v>854</v>
      </c>
      <c r="B855" t="s">
        <v>12</v>
      </c>
      <c r="C855" s="1">
        <v>5.9</v>
      </c>
      <c r="D855">
        <v>91.9</v>
      </c>
      <c r="E855" s="1">
        <v>7.9</v>
      </c>
      <c r="F855" t="s">
        <v>23</v>
      </c>
      <c r="G855" s="2" t="s">
        <v>15</v>
      </c>
      <c r="H855" s="2" t="s">
        <v>14</v>
      </c>
      <c r="I855" t="s">
        <v>15</v>
      </c>
      <c r="J855">
        <v>60.4</v>
      </c>
      <c r="K855" s="1">
        <v>98.8</v>
      </c>
      <c r="L855" t="s">
        <v>16</v>
      </c>
    </row>
    <row r="856" spans="1:12" x14ac:dyDescent="0.35">
      <c r="A856">
        <v>855</v>
      </c>
      <c r="B856" t="s">
        <v>12</v>
      </c>
      <c r="C856" s="1">
        <v>2.9</v>
      </c>
      <c r="D856">
        <v>86.1</v>
      </c>
      <c r="E856" s="1">
        <v>6.8</v>
      </c>
      <c r="F856" t="s">
        <v>13</v>
      </c>
      <c r="G856" s="2" t="s">
        <v>14</v>
      </c>
      <c r="H856" s="2" t="s">
        <v>15</v>
      </c>
      <c r="I856" t="s">
        <v>15</v>
      </c>
      <c r="J856">
        <v>67</v>
      </c>
      <c r="K856" s="1">
        <v>81.900000000000006</v>
      </c>
      <c r="L856" t="s">
        <v>20</v>
      </c>
    </row>
    <row r="857" spans="1:12" x14ac:dyDescent="0.35">
      <c r="A857">
        <v>856</v>
      </c>
      <c r="B857" t="s">
        <v>12</v>
      </c>
      <c r="C857" s="1">
        <v>3.2</v>
      </c>
      <c r="D857">
        <v>90.8</v>
      </c>
      <c r="E857" s="1">
        <v>10</v>
      </c>
      <c r="F857" t="s">
        <v>24</v>
      </c>
      <c r="G857" s="2" t="s">
        <v>14</v>
      </c>
      <c r="H857" s="2" t="s">
        <v>15</v>
      </c>
      <c r="I857" t="s">
        <v>14</v>
      </c>
      <c r="J857">
        <v>73.8</v>
      </c>
      <c r="K857" s="1">
        <v>79</v>
      </c>
      <c r="L857" t="s">
        <v>22</v>
      </c>
    </row>
    <row r="858" spans="1:12" x14ac:dyDescent="0.35">
      <c r="A858">
        <v>857</v>
      </c>
      <c r="B858" t="s">
        <v>12</v>
      </c>
      <c r="C858" s="1">
        <v>2.6</v>
      </c>
      <c r="D858">
        <v>100</v>
      </c>
      <c r="E858" s="1">
        <v>4.8</v>
      </c>
      <c r="F858" t="s">
        <v>13</v>
      </c>
      <c r="G858" s="2" t="s">
        <v>14</v>
      </c>
      <c r="H858" s="2" t="s">
        <v>15</v>
      </c>
      <c r="I858" t="s">
        <v>15</v>
      </c>
      <c r="J858">
        <v>66.2</v>
      </c>
      <c r="K858" s="1">
        <v>91.7</v>
      </c>
      <c r="L858" t="s">
        <v>16</v>
      </c>
    </row>
    <row r="859" spans="1:12" x14ac:dyDescent="0.35">
      <c r="A859">
        <v>858</v>
      </c>
      <c r="B859" t="s">
        <v>12</v>
      </c>
      <c r="C859" s="1">
        <v>2</v>
      </c>
      <c r="D859">
        <v>69.400000000000006</v>
      </c>
      <c r="E859" s="1">
        <v>8.1</v>
      </c>
      <c r="F859" t="s">
        <v>24</v>
      </c>
      <c r="G859" s="2" t="s">
        <v>14</v>
      </c>
      <c r="H859" s="2" t="s">
        <v>14</v>
      </c>
      <c r="I859" t="s">
        <v>15</v>
      </c>
      <c r="J859">
        <v>73.8</v>
      </c>
      <c r="K859" s="1">
        <v>78.8</v>
      </c>
      <c r="L859" t="s">
        <v>22</v>
      </c>
    </row>
    <row r="860" spans="1:12" x14ac:dyDescent="0.35">
      <c r="A860">
        <v>859</v>
      </c>
      <c r="B860" t="s">
        <v>17</v>
      </c>
      <c r="C860" s="1">
        <v>2.5</v>
      </c>
      <c r="D860">
        <v>100</v>
      </c>
      <c r="E860" s="1">
        <v>6.6</v>
      </c>
      <c r="F860" t="s">
        <v>13</v>
      </c>
      <c r="G860" s="2" t="s">
        <v>14</v>
      </c>
      <c r="H860" s="2" t="s">
        <v>14</v>
      </c>
      <c r="I860" t="s">
        <v>15</v>
      </c>
      <c r="J860">
        <v>75.3</v>
      </c>
      <c r="K860" s="1">
        <v>84.8</v>
      </c>
      <c r="L860" t="s">
        <v>20</v>
      </c>
    </row>
    <row r="861" spans="1:12" x14ac:dyDescent="0.35">
      <c r="A861">
        <v>860</v>
      </c>
      <c r="B861" t="s">
        <v>12</v>
      </c>
      <c r="C861" s="1">
        <v>1.7</v>
      </c>
      <c r="D861">
        <v>86</v>
      </c>
      <c r="E861" s="1">
        <v>7.7</v>
      </c>
      <c r="F861" t="s">
        <v>18</v>
      </c>
      <c r="G861" s="2" t="s">
        <v>15</v>
      </c>
      <c r="H861" s="2" t="s">
        <v>15</v>
      </c>
      <c r="I861" t="s">
        <v>14</v>
      </c>
      <c r="J861">
        <v>80</v>
      </c>
      <c r="K861" s="1">
        <v>66.5</v>
      </c>
      <c r="L861" t="s">
        <v>21</v>
      </c>
    </row>
    <row r="862" spans="1:12" x14ac:dyDescent="0.35">
      <c r="A862">
        <v>861</v>
      </c>
      <c r="B862" t="s">
        <v>17</v>
      </c>
      <c r="C862" s="1">
        <v>3.6</v>
      </c>
      <c r="D862">
        <v>76</v>
      </c>
      <c r="E862" s="1">
        <v>7.3</v>
      </c>
      <c r="F862" t="s">
        <v>18</v>
      </c>
      <c r="G862" s="2" t="s">
        <v>14</v>
      </c>
      <c r="H862" s="2" t="s">
        <v>15</v>
      </c>
      <c r="I862" t="s">
        <v>15</v>
      </c>
      <c r="J862">
        <v>85.4</v>
      </c>
      <c r="K862" s="1">
        <v>91.1</v>
      </c>
      <c r="L862" t="s">
        <v>16</v>
      </c>
    </row>
    <row r="863" spans="1:12" x14ac:dyDescent="0.35">
      <c r="A863">
        <v>862</v>
      </c>
      <c r="B863" t="s">
        <v>12</v>
      </c>
      <c r="C863" s="1">
        <v>2.2999999999999998</v>
      </c>
      <c r="D863">
        <v>71.7</v>
      </c>
      <c r="E863" s="1">
        <v>5.9</v>
      </c>
      <c r="F863" t="s">
        <v>18</v>
      </c>
      <c r="G863" s="2" t="s">
        <v>14</v>
      </c>
      <c r="H863" s="2" t="s">
        <v>14</v>
      </c>
      <c r="I863" t="s">
        <v>15</v>
      </c>
      <c r="J863">
        <v>70.900000000000006</v>
      </c>
      <c r="K863" s="1">
        <v>74.2</v>
      </c>
      <c r="L863" t="s">
        <v>22</v>
      </c>
    </row>
    <row r="864" spans="1:12" x14ac:dyDescent="0.35">
      <c r="A864">
        <v>863</v>
      </c>
      <c r="B864" t="s">
        <v>17</v>
      </c>
      <c r="C864" s="1">
        <v>3.9</v>
      </c>
      <c r="D864">
        <v>83.1</v>
      </c>
      <c r="E864" s="1">
        <v>7.1</v>
      </c>
      <c r="F864" t="s">
        <v>19</v>
      </c>
      <c r="G864" s="2" t="s">
        <v>14</v>
      </c>
      <c r="H864" s="2" t="s">
        <v>15</v>
      </c>
      <c r="I864" t="s">
        <v>14</v>
      </c>
      <c r="J864">
        <v>54.3</v>
      </c>
      <c r="K864" s="1">
        <v>86.3</v>
      </c>
      <c r="L864" t="s">
        <v>20</v>
      </c>
    </row>
    <row r="865" spans="1:12" x14ac:dyDescent="0.35">
      <c r="A865">
        <v>864</v>
      </c>
      <c r="B865" t="s">
        <v>17</v>
      </c>
      <c r="C865" s="1">
        <v>1.2</v>
      </c>
      <c r="D865">
        <v>94.2</v>
      </c>
      <c r="E865" s="1">
        <v>4.5999999999999996</v>
      </c>
      <c r="F865" t="s">
        <v>23</v>
      </c>
      <c r="G865" s="2" t="s">
        <v>14</v>
      </c>
      <c r="H865" s="2" t="s">
        <v>15</v>
      </c>
      <c r="I865" t="s">
        <v>15</v>
      </c>
      <c r="J865">
        <v>65.900000000000006</v>
      </c>
      <c r="K865" s="1">
        <v>71.2</v>
      </c>
      <c r="L865" t="s">
        <v>22</v>
      </c>
    </row>
    <row r="866" spans="1:12" x14ac:dyDescent="0.35">
      <c r="A866">
        <v>865</v>
      </c>
      <c r="B866" t="s">
        <v>17</v>
      </c>
      <c r="C866" s="1">
        <v>4</v>
      </c>
      <c r="D866">
        <v>83.7</v>
      </c>
      <c r="E866" s="1">
        <v>7.5</v>
      </c>
      <c r="F866" t="s">
        <v>23</v>
      </c>
      <c r="G866" s="2" t="s">
        <v>14</v>
      </c>
      <c r="H866" s="2" t="s">
        <v>14</v>
      </c>
      <c r="I866" t="s">
        <v>15</v>
      </c>
      <c r="J866">
        <v>70.5</v>
      </c>
      <c r="K866" s="1">
        <v>83.5</v>
      </c>
      <c r="L866" t="s">
        <v>20</v>
      </c>
    </row>
    <row r="867" spans="1:12" x14ac:dyDescent="0.35">
      <c r="A867">
        <v>866</v>
      </c>
      <c r="B867" t="s">
        <v>12</v>
      </c>
      <c r="C867" s="1">
        <v>4.8</v>
      </c>
      <c r="D867">
        <v>100</v>
      </c>
      <c r="E867" s="1">
        <v>7.2</v>
      </c>
      <c r="F867" t="s">
        <v>18</v>
      </c>
      <c r="G867" s="2" t="s">
        <v>14</v>
      </c>
      <c r="H867" s="2" t="s">
        <v>15</v>
      </c>
      <c r="I867" t="s">
        <v>14</v>
      </c>
      <c r="J867">
        <v>48</v>
      </c>
      <c r="K867" s="1">
        <v>89.8</v>
      </c>
      <c r="L867" t="s">
        <v>20</v>
      </c>
    </row>
    <row r="868" spans="1:12" x14ac:dyDescent="0.35">
      <c r="A868">
        <v>867</v>
      </c>
      <c r="B868" t="s">
        <v>12</v>
      </c>
      <c r="C868" s="1">
        <v>0.5</v>
      </c>
      <c r="D868">
        <v>70.5</v>
      </c>
      <c r="E868" s="1">
        <v>7.6</v>
      </c>
      <c r="F868" t="s">
        <v>18</v>
      </c>
      <c r="G868" s="2" t="s">
        <v>14</v>
      </c>
      <c r="H868" s="2" t="s">
        <v>14</v>
      </c>
      <c r="I868" t="s">
        <v>15</v>
      </c>
      <c r="J868">
        <v>86.7</v>
      </c>
      <c r="K868" s="1">
        <v>80.3</v>
      </c>
      <c r="L868" t="s">
        <v>20</v>
      </c>
    </row>
    <row r="869" spans="1:12" x14ac:dyDescent="0.35">
      <c r="A869">
        <v>868</v>
      </c>
      <c r="B869" t="s">
        <v>17</v>
      </c>
      <c r="C869" s="1">
        <v>4.0999999999999996</v>
      </c>
      <c r="D869">
        <v>84.9</v>
      </c>
      <c r="E869" s="1">
        <v>8.1</v>
      </c>
      <c r="F869" t="s">
        <v>23</v>
      </c>
      <c r="G869" s="2" t="s">
        <v>14</v>
      </c>
      <c r="H869" s="2" t="s">
        <v>14</v>
      </c>
      <c r="I869" t="s">
        <v>15</v>
      </c>
      <c r="J869">
        <v>71.7</v>
      </c>
      <c r="K869" s="1">
        <v>91.6</v>
      </c>
      <c r="L869" t="s">
        <v>16</v>
      </c>
    </row>
    <row r="870" spans="1:12" x14ac:dyDescent="0.35">
      <c r="A870">
        <v>869</v>
      </c>
      <c r="B870" t="s">
        <v>12</v>
      </c>
      <c r="C870" s="1">
        <v>5.3</v>
      </c>
      <c r="D870">
        <v>72.5</v>
      </c>
      <c r="E870" s="1">
        <v>7.2</v>
      </c>
      <c r="F870" t="s">
        <v>13</v>
      </c>
      <c r="G870" s="2" t="s">
        <v>14</v>
      </c>
      <c r="H870" s="2" t="s">
        <v>14</v>
      </c>
      <c r="I870" t="s">
        <v>15</v>
      </c>
      <c r="J870">
        <v>74.599999999999994</v>
      </c>
      <c r="K870" s="1">
        <v>95.8</v>
      </c>
      <c r="L870" t="s">
        <v>16</v>
      </c>
    </row>
    <row r="871" spans="1:12" x14ac:dyDescent="0.35">
      <c r="A871">
        <v>870</v>
      </c>
      <c r="B871" t="s">
        <v>17</v>
      </c>
      <c r="C871" s="1">
        <v>1.7</v>
      </c>
      <c r="D871">
        <v>88.6</v>
      </c>
      <c r="E871" s="1">
        <v>7</v>
      </c>
      <c r="F871" t="s">
        <v>18</v>
      </c>
      <c r="G871" s="2" t="s">
        <v>14</v>
      </c>
      <c r="H871" s="2" t="s">
        <v>15</v>
      </c>
      <c r="I871" t="s">
        <v>15</v>
      </c>
      <c r="J871">
        <v>86.4</v>
      </c>
      <c r="K871" s="1">
        <v>84.4</v>
      </c>
      <c r="L871" t="s">
        <v>20</v>
      </c>
    </row>
    <row r="872" spans="1:12" x14ac:dyDescent="0.35">
      <c r="A872">
        <v>871</v>
      </c>
      <c r="B872" t="s">
        <v>12</v>
      </c>
      <c r="C872" s="1">
        <v>6</v>
      </c>
      <c r="D872">
        <v>93.9</v>
      </c>
      <c r="E872" s="1">
        <v>5.7</v>
      </c>
      <c r="F872" t="s">
        <v>13</v>
      </c>
      <c r="G872" s="2" t="s">
        <v>14</v>
      </c>
      <c r="H872" s="2" t="s">
        <v>15</v>
      </c>
      <c r="I872" t="s">
        <v>15</v>
      </c>
      <c r="J872">
        <v>62.4</v>
      </c>
      <c r="K872" s="1">
        <v>96.1</v>
      </c>
      <c r="L872" t="s">
        <v>16</v>
      </c>
    </row>
    <row r="873" spans="1:12" x14ac:dyDescent="0.35">
      <c r="A873">
        <v>872</v>
      </c>
      <c r="B873" t="s">
        <v>17</v>
      </c>
      <c r="C873" s="1">
        <v>4.0999999999999996</v>
      </c>
      <c r="D873">
        <v>80.8</v>
      </c>
      <c r="E873" s="1">
        <v>5.9</v>
      </c>
      <c r="F873" t="s">
        <v>18</v>
      </c>
      <c r="G873" s="2" t="s">
        <v>14</v>
      </c>
      <c r="H873" s="2" t="s">
        <v>14</v>
      </c>
      <c r="I873" t="s">
        <v>14</v>
      </c>
      <c r="J873">
        <v>76.900000000000006</v>
      </c>
      <c r="K873" s="1">
        <v>92.6</v>
      </c>
      <c r="L873" t="s">
        <v>16</v>
      </c>
    </row>
    <row r="874" spans="1:12" x14ac:dyDescent="0.35">
      <c r="A874">
        <v>873</v>
      </c>
      <c r="B874" t="s">
        <v>17</v>
      </c>
      <c r="C874" s="1">
        <v>2.4</v>
      </c>
      <c r="D874">
        <v>59</v>
      </c>
      <c r="E874" s="1">
        <v>8.1999999999999993</v>
      </c>
      <c r="F874" t="s">
        <v>18</v>
      </c>
      <c r="G874" s="2" t="s">
        <v>14</v>
      </c>
      <c r="H874" s="2" t="s">
        <v>15</v>
      </c>
      <c r="I874" t="s">
        <v>15</v>
      </c>
      <c r="J874">
        <v>68.7</v>
      </c>
      <c r="K874" s="1">
        <v>75.5</v>
      </c>
      <c r="L874" t="s">
        <v>22</v>
      </c>
    </row>
    <row r="875" spans="1:12" x14ac:dyDescent="0.35">
      <c r="A875">
        <v>874</v>
      </c>
      <c r="B875" t="s">
        <v>12</v>
      </c>
      <c r="C875" s="1">
        <v>3.4</v>
      </c>
      <c r="D875">
        <v>87</v>
      </c>
      <c r="E875" s="1">
        <v>8.5</v>
      </c>
      <c r="F875" t="s">
        <v>13</v>
      </c>
      <c r="G875" s="2" t="s">
        <v>14</v>
      </c>
      <c r="H875" s="2" t="s">
        <v>15</v>
      </c>
      <c r="I875" t="s">
        <v>15</v>
      </c>
      <c r="J875">
        <v>67.8</v>
      </c>
      <c r="K875" s="1">
        <v>85.1</v>
      </c>
      <c r="L875" t="s">
        <v>20</v>
      </c>
    </row>
    <row r="876" spans="1:12" x14ac:dyDescent="0.35">
      <c r="A876">
        <v>875</v>
      </c>
      <c r="B876" t="s">
        <v>17</v>
      </c>
      <c r="C876" s="1">
        <v>4.3</v>
      </c>
      <c r="D876">
        <v>89.4</v>
      </c>
      <c r="E876" s="1">
        <v>6.5</v>
      </c>
      <c r="F876" t="s">
        <v>18</v>
      </c>
      <c r="G876" s="2" t="s">
        <v>14</v>
      </c>
      <c r="H876" s="2" t="s">
        <v>15</v>
      </c>
      <c r="I876" t="s">
        <v>15</v>
      </c>
      <c r="J876">
        <v>60.7</v>
      </c>
      <c r="K876" s="1">
        <v>93.8</v>
      </c>
      <c r="L876" t="s">
        <v>16</v>
      </c>
    </row>
    <row r="877" spans="1:12" x14ac:dyDescent="0.35">
      <c r="A877">
        <v>876</v>
      </c>
      <c r="B877" t="s">
        <v>12</v>
      </c>
      <c r="C877" s="1">
        <v>3.6</v>
      </c>
      <c r="D877">
        <v>89</v>
      </c>
      <c r="E877" s="1">
        <v>6.9</v>
      </c>
      <c r="F877" t="s">
        <v>19</v>
      </c>
      <c r="G877" s="2" t="s">
        <v>14</v>
      </c>
      <c r="H877" s="2" t="s">
        <v>14</v>
      </c>
      <c r="I877" t="s">
        <v>15</v>
      </c>
      <c r="J877">
        <v>90</v>
      </c>
      <c r="K877" s="1">
        <v>81.400000000000006</v>
      </c>
      <c r="L877" t="s">
        <v>20</v>
      </c>
    </row>
    <row r="878" spans="1:12" x14ac:dyDescent="0.35">
      <c r="A878">
        <v>877</v>
      </c>
      <c r="B878" t="s">
        <v>17</v>
      </c>
      <c r="C878" s="1">
        <v>4.3</v>
      </c>
      <c r="D878">
        <v>97.4</v>
      </c>
      <c r="E878" s="1">
        <v>5.7</v>
      </c>
      <c r="F878" t="s">
        <v>18</v>
      </c>
      <c r="G878" s="2" t="s">
        <v>14</v>
      </c>
      <c r="H878" s="2" t="s">
        <v>15</v>
      </c>
      <c r="I878" t="s">
        <v>14</v>
      </c>
      <c r="J878">
        <v>65.5</v>
      </c>
      <c r="K878" s="1">
        <v>98.8</v>
      </c>
      <c r="L878" t="s">
        <v>16</v>
      </c>
    </row>
    <row r="879" spans="1:12" x14ac:dyDescent="0.35">
      <c r="A879">
        <v>878</v>
      </c>
      <c r="B879" t="s">
        <v>17</v>
      </c>
      <c r="C879" s="1">
        <v>2.1</v>
      </c>
      <c r="D879">
        <v>74.3</v>
      </c>
      <c r="E879" s="1">
        <v>8.1999999999999993</v>
      </c>
      <c r="F879" t="s">
        <v>18</v>
      </c>
      <c r="G879" s="2" t="s">
        <v>15</v>
      </c>
      <c r="H879" s="2" t="s">
        <v>14</v>
      </c>
      <c r="I879" t="s">
        <v>15</v>
      </c>
      <c r="J879">
        <v>78.400000000000006</v>
      </c>
      <c r="K879" s="1">
        <v>65.400000000000006</v>
      </c>
      <c r="L879" t="s">
        <v>21</v>
      </c>
    </row>
    <row r="880" spans="1:12" x14ac:dyDescent="0.35">
      <c r="A880">
        <v>879</v>
      </c>
      <c r="B880" t="s">
        <v>12</v>
      </c>
      <c r="C880" s="1">
        <v>3.8</v>
      </c>
      <c r="D880">
        <v>91.8</v>
      </c>
      <c r="E880" s="1">
        <v>7.6</v>
      </c>
      <c r="F880" t="s">
        <v>18</v>
      </c>
      <c r="G880" s="2" t="s">
        <v>14</v>
      </c>
      <c r="H880" s="2" t="s">
        <v>14</v>
      </c>
      <c r="I880" t="s">
        <v>15</v>
      </c>
      <c r="J880">
        <v>47.5</v>
      </c>
      <c r="K880" s="1">
        <v>77.599999999999994</v>
      </c>
      <c r="L880" t="s">
        <v>22</v>
      </c>
    </row>
    <row r="881" spans="1:12" x14ac:dyDescent="0.35">
      <c r="A881">
        <v>880</v>
      </c>
      <c r="B881" t="s">
        <v>12</v>
      </c>
      <c r="C881" s="1">
        <v>1.4</v>
      </c>
      <c r="D881">
        <v>96.9</v>
      </c>
      <c r="E881" s="1">
        <v>9.1</v>
      </c>
      <c r="F881" t="s">
        <v>23</v>
      </c>
      <c r="G881" s="2" t="s">
        <v>14</v>
      </c>
      <c r="H881" s="2" t="s">
        <v>14</v>
      </c>
      <c r="I881" t="s">
        <v>14</v>
      </c>
      <c r="J881">
        <v>84.2</v>
      </c>
      <c r="K881" s="1">
        <v>85.6</v>
      </c>
      <c r="L881" t="s">
        <v>20</v>
      </c>
    </row>
    <row r="882" spans="1:12" x14ac:dyDescent="0.35">
      <c r="A882">
        <v>881</v>
      </c>
      <c r="B882" t="s">
        <v>12</v>
      </c>
      <c r="C882" s="1">
        <v>3.3</v>
      </c>
      <c r="D882">
        <v>67.2</v>
      </c>
      <c r="E882" s="1">
        <v>5.7</v>
      </c>
      <c r="F882" t="s">
        <v>13</v>
      </c>
      <c r="G882" s="2" t="s">
        <v>14</v>
      </c>
      <c r="H882" s="2" t="s">
        <v>14</v>
      </c>
      <c r="I882" t="s">
        <v>15</v>
      </c>
      <c r="J882">
        <v>82.6</v>
      </c>
      <c r="K882" s="1">
        <v>81.400000000000006</v>
      </c>
      <c r="L882" t="s">
        <v>20</v>
      </c>
    </row>
    <row r="883" spans="1:12" x14ac:dyDescent="0.35">
      <c r="A883">
        <v>882</v>
      </c>
      <c r="B883" t="s">
        <v>17</v>
      </c>
      <c r="C883" s="1">
        <v>2.1</v>
      </c>
      <c r="D883">
        <v>88.2</v>
      </c>
      <c r="E883" s="1">
        <v>6.3</v>
      </c>
      <c r="F883" t="s">
        <v>13</v>
      </c>
      <c r="G883" s="2" t="s">
        <v>14</v>
      </c>
      <c r="H883" s="2" t="s">
        <v>15</v>
      </c>
      <c r="I883" t="s">
        <v>15</v>
      </c>
      <c r="J883">
        <v>71.2</v>
      </c>
      <c r="K883" s="1">
        <v>85.4</v>
      </c>
      <c r="L883" t="s">
        <v>20</v>
      </c>
    </row>
    <row r="884" spans="1:12" x14ac:dyDescent="0.35">
      <c r="A884">
        <v>883</v>
      </c>
      <c r="B884" t="s">
        <v>12</v>
      </c>
      <c r="C884" s="1">
        <v>2.4</v>
      </c>
      <c r="D884">
        <v>80</v>
      </c>
      <c r="E884" s="1">
        <v>7.1</v>
      </c>
      <c r="F884" t="s">
        <v>18</v>
      </c>
      <c r="G884" s="2" t="s">
        <v>14</v>
      </c>
      <c r="H884" s="2" t="s">
        <v>14</v>
      </c>
      <c r="I884" t="s">
        <v>15</v>
      </c>
      <c r="J884">
        <v>67.3</v>
      </c>
      <c r="K884" s="1">
        <v>71.900000000000006</v>
      </c>
      <c r="L884" t="s">
        <v>22</v>
      </c>
    </row>
    <row r="885" spans="1:12" x14ac:dyDescent="0.35">
      <c r="A885">
        <v>884</v>
      </c>
      <c r="B885" t="s">
        <v>17</v>
      </c>
      <c r="C885" s="1">
        <v>5.4</v>
      </c>
      <c r="D885">
        <v>84.2</v>
      </c>
      <c r="E885" s="1">
        <v>7.6</v>
      </c>
      <c r="F885" t="s">
        <v>18</v>
      </c>
      <c r="G885" s="2" t="s">
        <v>14</v>
      </c>
      <c r="H885" s="2" t="s">
        <v>15</v>
      </c>
      <c r="I885" t="s">
        <v>14</v>
      </c>
      <c r="J885">
        <v>74.8</v>
      </c>
      <c r="K885" s="1">
        <v>94.4</v>
      </c>
      <c r="L885" t="s">
        <v>16</v>
      </c>
    </row>
    <row r="886" spans="1:12" x14ac:dyDescent="0.35">
      <c r="A886">
        <v>885</v>
      </c>
      <c r="B886" t="s">
        <v>17</v>
      </c>
      <c r="C886" s="1">
        <v>5.0999999999999996</v>
      </c>
      <c r="D886">
        <v>88.5</v>
      </c>
      <c r="E886" s="1">
        <v>6.5</v>
      </c>
      <c r="F886" t="s">
        <v>13</v>
      </c>
      <c r="G886" s="2" t="s">
        <v>14</v>
      </c>
      <c r="H886" s="2" t="s">
        <v>14</v>
      </c>
      <c r="I886" t="s">
        <v>15</v>
      </c>
      <c r="J886">
        <v>97.5</v>
      </c>
      <c r="K886" s="1">
        <v>100</v>
      </c>
      <c r="L886" t="s">
        <v>16</v>
      </c>
    </row>
    <row r="887" spans="1:12" x14ac:dyDescent="0.35">
      <c r="A887">
        <v>886</v>
      </c>
      <c r="B887" t="s">
        <v>12</v>
      </c>
      <c r="C887" s="1">
        <v>4.4000000000000004</v>
      </c>
      <c r="D887">
        <v>80.099999999999994</v>
      </c>
      <c r="E887" s="1">
        <v>5.8</v>
      </c>
      <c r="F887" t="s">
        <v>23</v>
      </c>
      <c r="G887" s="2" t="s">
        <v>14</v>
      </c>
      <c r="H887" s="2" t="s">
        <v>14</v>
      </c>
      <c r="I887" t="s">
        <v>14</v>
      </c>
      <c r="J887">
        <v>48.8</v>
      </c>
      <c r="K887" s="1">
        <v>77.099999999999994</v>
      </c>
      <c r="L887" t="s">
        <v>22</v>
      </c>
    </row>
    <row r="888" spans="1:12" x14ac:dyDescent="0.35">
      <c r="A888">
        <v>887</v>
      </c>
      <c r="B888" t="s">
        <v>12</v>
      </c>
      <c r="C888" s="1">
        <v>1.9</v>
      </c>
      <c r="D888">
        <v>78.2</v>
      </c>
      <c r="E888" s="1">
        <v>7.9</v>
      </c>
      <c r="F888" t="s">
        <v>24</v>
      </c>
      <c r="G888" s="2" t="s">
        <v>14</v>
      </c>
      <c r="H888" s="2" t="s">
        <v>15</v>
      </c>
      <c r="I888" t="s">
        <v>14</v>
      </c>
      <c r="J888">
        <v>79.400000000000006</v>
      </c>
      <c r="K888" s="1">
        <v>76.8</v>
      </c>
      <c r="L888" t="s">
        <v>22</v>
      </c>
    </row>
    <row r="889" spans="1:12" x14ac:dyDescent="0.35">
      <c r="A889">
        <v>888</v>
      </c>
      <c r="B889" t="s">
        <v>17</v>
      </c>
      <c r="C889" s="1">
        <v>3</v>
      </c>
      <c r="D889">
        <v>85.3</v>
      </c>
      <c r="E889" s="1">
        <v>7.7</v>
      </c>
      <c r="F889" t="s">
        <v>18</v>
      </c>
      <c r="G889" s="2" t="s">
        <v>14</v>
      </c>
      <c r="H889" s="2" t="s">
        <v>15</v>
      </c>
      <c r="I889" t="s">
        <v>15</v>
      </c>
      <c r="J889">
        <v>59.1</v>
      </c>
      <c r="K889" s="1">
        <v>79.8</v>
      </c>
      <c r="L889" t="s">
        <v>22</v>
      </c>
    </row>
    <row r="890" spans="1:12" x14ac:dyDescent="0.35">
      <c r="A890">
        <v>889</v>
      </c>
      <c r="B890" t="s">
        <v>17</v>
      </c>
      <c r="C890" s="1">
        <v>5.3</v>
      </c>
      <c r="D890">
        <v>74.099999999999994</v>
      </c>
      <c r="E890" s="1">
        <v>5.7</v>
      </c>
      <c r="F890" t="s">
        <v>13</v>
      </c>
      <c r="G890" s="2" t="s">
        <v>14</v>
      </c>
      <c r="H890" s="2" t="s">
        <v>14</v>
      </c>
      <c r="I890" t="s">
        <v>14</v>
      </c>
      <c r="J890">
        <v>69.8</v>
      </c>
      <c r="K890" s="1">
        <v>82.2</v>
      </c>
      <c r="L890" t="s">
        <v>20</v>
      </c>
    </row>
    <row r="891" spans="1:12" x14ac:dyDescent="0.35">
      <c r="A891">
        <v>890</v>
      </c>
      <c r="B891" t="s">
        <v>12</v>
      </c>
      <c r="C891" s="1">
        <v>3.7</v>
      </c>
      <c r="D891">
        <v>74.099999999999994</v>
      </c>
      <c r="E891" s="1">
        <v>8.4</v>
      </c>
      <c r="F891" t="s">
        <v>19</v>
      </c>
      <c r="G891" s="2" t="s">
        <v>14</v>
      </c>
      <c r="H891" s="2" t="s">
        <v>14</v>
      </c>
      <c r="I891" t="s">
        <v>14</v>
      </c>
      <c r="J891">
        <v>67</v>
      </c>
      <c r="K891" s="1">
        <v>77.400000000000006</v>
      </c>
      <c r="L891" t="s">
        <v>22</v>
      </c>
    </row>
    <row r="892" spans="1:12" x14ac:dyDescent="0.35">
      <c r="A892">
        <v>891</v>
      </c>
      <c r="B892" t="s">
        <v>12</v>
      </c>
      <c r="C892" s="1">
        <v>7</v>
      </c>
      <c r="D892">
        <v>91.8</v>
      </c>
      <c r="E892" s="1">
        <v>8.1999999999999993</v>
      </c>
      <c r="F892" t="s">
        <v>13</v>
      </c>
      <c r="G892" s="2" t="s">
        <v>14</v>
      </c>
      <c r="H892" s="2" t="s">
        <v>14</v>
      </c>
      <c r="I892" t="s">
        <v>14</v>
      </c>
      <c r="J892">
        <v>64.900000000000006</v>
      </c>
      <c r="K892" s="1">
        <v>100</v>
      </c>
      <c r="L892" t="s">
        <v>16</v>
      </c>
    </row>
    <row r="893" spans="1:12" x14ac:dyDescent="0.35">
      <c r="A893">
        <v>892</v>
      </c>
      <c r="B893" t="s">
        <v>12</v>
      </c>
      <c r="C893" s="1">
        <v>4.0999999999999996</v>
      </c>
      <c r="D893">
        <v>73.5</v>
      </c>
      <c r="E893" s="1">
        <v>7</v>
      </c>
      <c r="F893" t="s">
        <v>23</v>
      </c>
      <c r="G893" s="2" t="s">
        <v>14</v>
      </c>
      <c r="H893" s="2" t="s">
        <v>14</v>
      </c>
      <c r="I893" t="s">
        <v>14</v>
      </c>
      <c r="J893">
        <v>69.900000000000006</v>
      </c>
      <c r="K893" s="1">
        <v>87.2</v>
      </c>
      <c r="L893" t="s">
        <v>20</v>
      </c>
    </row>
    <row r="894" spans="1:12" x14ac:dyDescent="0.35">
      <c r="A894">
        <v>893</v>
      </c>
      <c r="B894" t="s">
        <v>12</v>
      </c>
      <c r="C894" s="1">
        <v>3.8</v>
      </c>
      <c r="D894">
        <v>91.7</v>
      </c>
      <c r="E894" s="1">
        <v>6.9</v>
      </c>
      <c r="F894" t="s">
        <v>18</v>
      </c>
      <c r="G894" s="2" t="s">
        <v>14</v>
      </c>
      <c r="H894" s="2" t="s">
        <v>15</v>
      </c>
      <c r="I894" t="s">
        <v>14</v>
      </c>
      <c r="J894">
        <v>56.4</v>
      </c>
      <c r="K894" s="1">
        <v>76.400000000000006</v>
      </c>
      <c r="L894" t="s">
        <v>22</v>
      </c>
    </row>
    <row r="895" spans="1:12" x14ac:dyDescent="0.35">
      <c r="A895">
        <v>894</v>
      </c>
      <c r="B895" t="s">
        <v>12</v>
      </c>
      <c r="C895" s="1">
        <v>3</v>
      </c>
      <c r="D895">
        <v>89.6</v>
      </c>
      <c r="E895" s="1">
        <v>7.5</v>
      </c>
      <c r="F895" t="s">
        <v>19</v>
      </c>
      <c r="G895" s="2" t="s">
        <v>15</v>
      </c>
      <c r="H895" s="2" t="s">
        <v>15</v>
      </c>
      <c r="I895" t="s">
        <v>15</v>
      </c>
      <c r="J895">
        <v>82.4</v>
      </c>
      <c r="K895" s="1">
        <v>79.599999999999994</v>
      </c>
      <c r="L895" t="s">
        <v>22</v>
      </c>
    </row>
    <row r="896" spans="1:12" x14ac:dyDescent="0.35">
      <c r="A896">
        <v>895</v>
      </c>
      <c r="B896" t="s">
        <v>17</v>
      </c>
      <c r="C896" s="1">
        <v>3.7</v>
      </c>
      <c r="D896">
        <v>67.7</v>
      </c>
      <c r="E896" s="1">
        <v>5.8</v>
      </c>
      <c r="F896" t="s">
        <v>23</v>
      </c>
      <c r="G896" s="2" t="s">
        <v>14</v>
      </c>
      <c r="H896" s="2" t="s">
        <v>14</v>
      </c>
      <c r="I896" t="s">
        <v>14</v>
      </c>
      <c r="J896">
        <v>48.5</v>
      </c>
      <c r="K896" s="1">
        <v>71.400000000000006</v>
      </c>
      <c r="L896" t="s">
        <v>22</v>
      </c>
    </row>
    <row r="897" spans="1:12" x14ac:dyDescent="0.35">
      <c r="A897">
        <v>896</v>
      </c>
      <c r="B897" t="s">
        <v>17</v>
      </c>
      <c r="C897" s="1">
        <v>3.3</v>
      </c>
      <c r="D897">
        <v>78.2</v>
      </c>
      <c r="E897" s="1">
        <v>6.8</v>
      </c>
      <c r="F897" t="s">
        <v>19</v>
      </c>
      <c r="G897" s="2" t="s">
        <v>14</v>
      </c>
      <c r="H897" s="2" t="s">
        <v>15</v>
      </c>
      <c r="I897" t="s">
        <v>14</v>
      </c>
      <c r="J897">
        <v>76.5</v>
      </c>
      <c r="K897" s="1">
        <v>80.8</v>
      </c>
      <c r="L897" t="s">
        <v>20</v>
      </c>
    </row>
    <row r="898" spans="1:12" x14ac:dyDescent="0.35">
      <c r="A898">
        <v>897</v>
      </c>
      <c r="B898" t="s">
        <v>17</v>
      </c>
      <c r="C898" s="1">
        <v>4.5999999999999996</v>
      </c>
      <c r="D898">
        <v>96.9</v>
      </c>
      <c r="E898" s="1">
        <v>4.2</v>
      </c>
      <c r="F898" t="s">
        <v>23</v>
      </c>
      <c r="G898" s="2" t="s">
        <v>14</v>
      </c>
      <c r="H898" s="2" t="s">
        <v>15</v>
      </c>
      <c r="I898" t="s">
        <v>14</v>
      </c>
      <c r="J898">
        <v>66.099999999999994</v>
      </c>
      <c r="K898" s="1">
        <v>91.1</v>
      </c>
      <c r="L898" t="s">
        <v>16</v>
      </c>
    </row>
    <row r="899" spans="1:12" x14ac:dyDescent="0.35">
      <c r="A899">
        <v>898</v>
      </c>
      <c r="B899" t="s">
        <v>17</v>
      </c>
      <c r="C899" s="1">
        <v>4.9000000000000004</v>
      </c>
      <c r="D899">
        <v>75.2</v>
      </c>
      <c r="E899" s="1">
        <v>7.9</v>
      </c>
      <c r="F899" t="s">
        <v>13</v>
      </c>
      <c r="G899" s="2" t="s">
        <v>14</v>
      </c>
      <c r="H899" s="2" t="s">
        <v>14</v>
      </c>
      <c r="I899" t="s">
        <v>15</v>
      </c>
      <c r="J899">
        <v>55.9</v>
      </c>
      <c r="K899" s="1">
        <v>78.8</v>
      </c>
      <c r="L899" t="s">
        <v>22</v>
      </c>
    </row>
    <row r="900" spans="1:12" x14ac:dyDescent="0.35">
      <c r="A900">
        <v>899</v>
      </c>
      <c r="B900" t="s">
        <v>12</v>
      </c>
      <c r="C900" s="1">
        <v>2.2999999999999998</v>
      </c>
      <c r="D900">
        <v>80.400000000000006</v>
      </c>
      <c r="E900" s="1">
        <v>4.9000000000000004</v>
      </c>
      <c r="F900" t="s">
        <v>19</v>
      </c>
      <c r="G900" s="2" t="s">
        <v>14</v>
      </c>
      <c r="H900" s="2" t="s">
        <v>14</v>
      </c>
      <c r="I900" t="s">
        <v>15</v>
      </c>
      <c r="J900">
        <v>72.400000000000006</v>
      </c>
      <c r="K900" s="1">
        <v>66.7</v>
      </c>
      <c r="L900" t="s">
        <v>21</v>
      </c>
    </row>
    <row r="901" spans="1:12" x14ac:dyDescent="0.35">
      <c r="A901">
        <v>900</v>
      </c>
      <c r="B901" t="s">
        <v>12</v>
      </c>
      <c r="C901" s="1">
        <v>1.5</v>
      </c>
      <c r="D901">
        <v>89.6</v>
      </c>
      <c r="E901" s="1">
        <v>8.6</v>
      </c>
      <c r="F901" t="s">
        <v>18</v>
      </c>
      <c r="G901" s="2" t="s">
        <v>14</v>
      </c>
      <c r="H901" s="2" t="s">
        <v>15</v>
      </c>
      <c r="I901" t="s">
        <v>15</v>
      </c>
      <c r="J901">
        <v>51.3</v>
      </c>
      <c r="K901" s="1">
        <v>68.8</v>
      </c>
      <c r="L901" t="s">
        <v>21</v>
      </c>
    </row>
    <row r="902" spans="1:12" x14ac:dyDescent="0.35">
      <c r="A902">
        <v>901</v>
      </c>
      <c r="B902" t="s">
        <v>12</v>
      </c>
      <c r="C902" s="1">
        <v>0.7</v>
      </c>
      <c r="D902">
        <v>92.8</v>
      </c>
      <c r="E902" s="1">
        <v>6.4</v>
      </c>
      <c r="F902" t="s">
        <v>18</v>
      </c>
      <c r="G902" s="2" t="s">
        <v>14</v>
      </c>
      <c r="H902" s="2" t="s">
        <v>15</v>
      </c>
      <c r="I902" t="s">
        <v>15</v>
      </c>
      <c r="J902">
        <v>70.5</v>
      </c>
      <c r="K902" s="1">
        <v>69.900000000000006</v>
      </c>
      <c r="L902" t="s">
        <v>21</v>
      </c>
    </row>
    <row r="903" spans="1:12" x14ac:dyDescent="0.35">
      <c r="A903">
        <v>902</v>
      </c>
      <c r="B903" t="s">
        <v>17</v>
      </c>
      <c r="C903" s="1">
        <v>4.3</v>
      </c>
      <c r="D903">
        <v>82.5</v>
      </c>
      <c r="E903" s="1">
        <v>6.5</v>
      </c>
      <c r="F903" t="s">
        <v>23</v>
      </c>
      <c r="G903" s="2" t="s">
        <v>14</v>
      </c>
      <c r="H903" s="2" t="s">
        <v>14</v>
      </c>
      <c r="I903" t="s">
        <v>15</v>
      </c>
      <c r="J903">
        <v>52.9</v>
      </c>
      <c r="K903" s="1">
        <v>80.7</v>
      </c>
      <c r="L903" t="s">
        <v>20</v>
      </c>
    </row>
    <row r="904" spans="1:12" x14ac:dyDescent="0.35">
      <c r="A904">
        <v>903</v>
      </c>
      <c r="B904" t="s">
        <v>17</v>
      </c>
      <c r="C904" s="1">
        <v>1.8</v>
      </c>
      <c r="D904">
        <v>79</v>
      </c>
      <c r="E904" s="1">
        <v>6</v>
      </c>
      <c r="F904" t="s">
        <v>23</v>
      </c>
      <c r="G904" s="2" t="s">
        <v>14</v>
      </c>
      <c r="H904" s="2" t="s">
        <v>14</v>
      </c>
      <c r="I904" t="s">
        <v>15</v>
      </c>
      <c r="J904">
        <v>75.5</v>
      </c>
      <c r="K904" s="1">
        <v>73.3</v>
      </c>
      <c r="L904" t="s">
        <v>22</v>
      </c>
    </row>
    <row r="905" spans="1:12" x14ac:dyDescent="0.35">
      <c r="A905">
        <v>904</v>
      </c>
      <c r="B905" t="s">
        <v>12</v>
      </c>
      <c r="C905" s="1">
        <v>0.5</v>
      </c>
      <c r="D905">
        <v>99.2</v>
      </c>
      <c r="E905" s="1">
        <v>6.5</v>
      </c>
      <c r="F905" t="s">
        <v>19</v>
      </c>
      <c r="G905" s="2" t="s">
        <v>15</v>
      </c>
      <c r="H905" s="2" t="s">
        <v>14</v>
      </c>
      <c r="I905" t="s">
        <v>14</v>
      </c>
      <c r="J905">
        <v>58.9</v>
      </c>
      <c r="K905" s="1">
        <v>68.8</v>
      </c>
      <c r="L905" t="s">
        <v>21</v>
      </c>
    </row>
    <row r="906" spans="1:12" x14ac:dyDescent="0.35">
      <c r="A906">
        <v>905</v>
      </c>
      <c r="B906" t="s">
        <v>12</v>
      </c>
      <c r="C906" s="1">
        <v>4.0999999999999996</v>
      </c>
      <c r="D906">
        <v>100</v>
      </c>
      <c r="E906" s="1">
        <v>8.5</v>
      </c>
      <c r="F906" t="s">
        <v>18</v>
      </c>
      <c r="G906" s="2" t="s">
        <v>14</v>
      </c>
      <c r="H906" s="2" t="s">
        <v>15</v>
      </c>
      <c r="I906" t="s">
        <v>15</v>
      </c>
      <c r="J906">
        <v>64.599999999999994</v>
      </c>
      <c r="K906" s="1">
        <v>90.8</v>
      </c>
      <c r="L906" t="s">
        <v>16</v>
      </c>
    </row>
    <row r="907" spans="1:12" x14ac:dyDescent="0.35">
      <c r="A907">
        <v>906</v>
      </c>
      <c r="B907" t="s">
        <v>17</v>
      </c>
      <c r="C907" s="1">
        <v>7.2</v>
      </c>
      <c r="D907">
        <v>94.8</v>
      </c>
      <c r="E907" s="1">
        <v>3.8</v>
      </c>
      <c r="F907" t="s">
        <v>23</v>
      </c>
      <c r="G907" s="2" t="s">
        <v>14</v>
      </c>
      <c r="H907" s="2" t="s">
        <v>14</v>
      </c>
      <c r="I907" t="s">
        <v>15</v>
      </c>
      <c r="J907">
        <v>73.5</v>
      </c>
      <c r="K907" s="1">
        <v>100</v>
      </c>
      <c r="L907" t="s">
        <v>16</v>
      </c>
    </row>
    <row r="908" spans="1:12" x14ac:dyDescent="0.35">
      <c r="A908">
        <v>907</v>
      </c>
      <c r="B908" t="s">
        <v>17</v>
      </c>
      <c r="C908" s="1">
        <v>3.5</v>
      </c>
      <c r="D908">
        <v>85.9</v>
      </c>
      <c r="E908" s="1">
        <v>8.3000000000000007</v>
      </c>
      <c r="F908" t="s">
        <v>23</v>
      </c>
      <c r="G908" s="2" t="s">
        <v>14</v>
      </c>
      <c r="H908" s="2" t="s">
        <v>14</v>
      </c>
      <c r="I908" t="s">
        <v>15</v>
      </c>
      <c r="J908">
        <v>60.7</v>
      </c>
      <c r="K908" s="1">
        <v>85</v>
      </c>
      <c r="L908" t="s">
        <v>20</v>
      </c>
    </row>
    <row r="909" spans="1:12" x14ac:dyDescent="0.35">
      <c r="A909">
        <v>908</v>
      </c>
      <c r="B909" t="s">
        <v>12</v>
      </c>
      <c r="C909" s="1">
        <v>4.8</v>
      </c>
      <c r="D909">
        <v>76.900000000000006</v>
      </c>
      <c r="E909" s="1">
        <v>7.2</v>
      </c>
      <c r="F909" t="s">
        <v>18</v>
      </c>
      <c r="G909" s="2" t="s">
        <v>14</v>
      </c>
      <c r="H909" s="2" t="s">
        <v>15</v>
      </c>
      <c r="I909" t="s">
        <v>14</v>
      </c>
      <c r="J909">
        <v>69.3</v>
      </c>
      <c r="K909" s="1">
        <v>86</v>
      </c>
      <c r="L909" t="s">
        <v>20</v>
      </c>
    </row>
    <row r="910" spans="1:12" x14ac:dyDescent="0.35">
      <c r="A910">
        <v>909</v>
      </c>
      <c r="B910" t="s">
        <v>12</v>
      </c>
      <c r="C910" s="1">
        <v>3.6</v>
      </c>
      <c r="D910">
        <v>76.7</v>
      </c>
      <c r="E910" s="1">
        <v>5.4</v>
      </c>
      <c r="F910" t="s">
        <v>13</v>
      </c>
      <c r="G910" s="2" t="s">
        <v>14</v>
      </c>
      <c r="H910" s="2" t="s">
        <v>15</v>
      </c>
      <c r="I910" t="s">
        <v>15</v>
      </c>
      <c r="J910">
        <v>51.8</v>
      </c>
      <c r="K910" s="1">
        <v>73.099999999999994</v>
      </c>
      <c r="L910" t="s">
        <v>22</v>
      </c>
    </row>
    <row r="911" spans="1:12" x14ac:dyDescent="0.35">
      <c r="A911">
        <v>910</v>
      </c>
      <c r="B911" t="s">
        <v>17</v>
      </c>
      <c r="C911" s="1">
        <v>3.4</v>
      </c>
      <c r="D911">
        <v>90.2</v>
      </c>
      <c r="E911" s="1">
        <v>5.5</v>
      </c>
      <c r="F911" t="s">
        <v>18</v>
      </c>
      <c r="G911" s="2" t="s">
        <v>14</v>
      </c>
      <c r="H911" s="2" t="s">
        <v>15</v>
      </c>
      <c r="I911" t="s">
        <v>14</v>
      </c>
      <c r="J911">
        <v>77.599999999999994</v>
      </c>
      <c r="K911" s="1">
        <v>87.6</v>
      </c>
      <c r="L911" t="s">
        <v>20</v>
      </c>
    </row>
    <row r="912" spans="1:12" x14ac:dyDescent="0.35">
      <c r="A912">
        <v>911</v>
      </c>
      <c r="B912" t="s">
        <v>12</v>
      </c>
      <c r="C912" s="1">
        <v>4.9000000000000004</v>
      </c>
      <c r="D912">
        <v>89.2</v>
      </c>
      <c r="E912" s="1">
        <v>8.8000000000000007</v>
      </c>
      <c r="F912" t="s">
        <v>18</v>
      </c>
      <c r="G912" s="2" t="s">
        <v>14</v>
      </c>
      <c r="H912" s="2" t="s">
        <v>14</v>
      </c>
      <c r="I912" t="s">
        <v>14</v>
      </c>
      <c r="J912">
        <v>91.2</v>
      </c>
      <c r="K912" s="1">
        <v>96.5</v>
      </c>
      <c r="L912" t="s">
        <v>16</v>
      </c>
    </row>
    <row r="913" spans="1:12" x14ac:dyDescent="0.35">
      <c r="A913">
        <v>912</v>
      </c>
      <c r="B913" t="s">
        <v>12</v>
      </c>
      <c r="C913" s="1">
        <v>3.1</v>
      </c>
      <c r="D913">
        <v>99</v>
      </c>
      <c r="E913" s="1">
        <v>5.7</v>
      </c>
      <c r="F913" t="s">
        <v>19</v>
      </c>
      <c r="G913" s="2" t="s">
        <v>14</v>
      </c>
      <c r="H913" s="2" t="s">
        <v>14</v>
      </c>
      <c r="I913" t="s">
        <v>15</v>
      </c>
      <c r="J913">
        <v>100</v>
      </c>
      <c r="K913" s="1">
        <v>100</v>
      </c>
      <c r="L913" t="s">
        <v>16</v>
      </c>
    </row>
    <row r="914" spans="1:12" x14ac:dyDescent="0.35">
      <c r="A914">
        <v>913</v>
      </c>
      <c r="B914" t="s">
        <v>12</v>
      </c>
      <c r="C914" s="1">
        <v>3.9</v>
      </c>
      <c r="D914">
        <v>91.5</v>
      </c>
      <c r="E914" s="1">
        <v>5.4</v>
      </c>
      <c r="F914" t="s">
        <v>13</v>
      </c>
      <c r="G914" s="2" t="s">
        <v>15</v>
      </c>
      <c r="H914" s="2" t="s">
        <v>14</v>
      </c>
      <c r="I914" t="s">
        <v>15</v>
      </c>
      <c r="J914">
        <v>71.099999999999994</v>
      </c>
      <c r="K914" s="1">
        <v>82.1</v>
      </c>
      <c r="L914" t="s">
        <v>20</v>
      </c>
    </row>
    <row r="915" spans="1:12" x14ac:dyDescent="0.35">
      <c r="A915">
        <v>914</v>
      </c>
      <c r="B915" t="s">
        <v>17</v>
      </c>
      <c r="C915" s="1">
        <v>4</v>
      </c>
      <c r="D915">
        <v>70</v>
      </c>
      <c r="E915" s="1">
        <v>8.1999999999999993</v>
      </c>
      <c r="F915" t="s">
        <v>23</v>
      </c>
      <c r="G915" s="2" t="s">
        <v>14</v>
      </c>
      <c r="H915" s="2" t="s">
        <v>14</v>
      </c>
      <c r="I915" t="s">
        <v>15</v>
      </c>
      <c r="J915">
        <v>79.5</v>
      </c>
      <c r="K915" s="1">
        <v>80.3</v>
      </c>
      <c r="L915" t="s">
        <v>20</v>
      </c>
    </row>
    <row r="916" spans="1:12" x14ac:dyDescent="0.35">
      <c r="A916">
        <v>915</v>
      </c>
      <c r="B916" t="s">
        <v>17</v>
      </c>
      <c r="C916" s="1">
        <v>2.5</v>
      </c>
      <c r="D916">
        <v>95.5</v>
      </c>
      <c r="E916" s="1">
        <v>7.2</v>
      </c>
      <c r="F916" t="s">
        <v>19</v>
      </c>
      <c r="G916" s="2" t="s">
        <v>14</v>
      </c>
      <c r="H916" s="2" t="s">
        <v>15</v>
      </c>
      <c r="I916" t="s">
        <v>15</v>
      </c>
      <c r="J916">
        <v>48.6</v>
      </c>
      <c r="K916" s="1">
        <v>76.900000000000006</v>
      </c>
      <c r="L916" t="s">
        <v>22</v>
      </c>
    </row>
    <row r="917" spans="1:12" x14ac:dyDescent="0.35">
      <c r="A917">
        <v>916</v>
      </c>
      <c r="B917" t="s">
        <v>17</v>
      </c>
      <c r="C917" s="1">
        <v>5</v>
      </c>
      <c r="D917">
        <v>75</v>
      </c>
      <c r="E917" s="1">
        <v>5.7</v>
      </c>
      <c r="F917" t="s">
        <v>13</v>
      </c>
      <c r="G917" s="2" t="s">
        <v>15</v>
      </c>
      <c r="H917" s="2" t="s">
        <v>14</v>
      </c>
      <c r="I917" t="s">
        <v>14</v>
      </c>
      <c r="J917">
        <v>88</v>
      </c>
      <c r="K917" s="1">
        <v>81.7</v>
      </c>
      <c r="L917" t="s">
        <v>20</v>
      </c>
    </row>
    <row r="918" spans="1:12" x14ac:dyDescent="0.35">
      <c r="A918">
        <v>917</v>
      </c>
      <c r="B918" t="s">
        <v>17</v>
      </c>
      <c r="C918" s="1">
        <v>3.2</v>
      </c>
      <c r="D918">
        <v>81.2</v>
      </c>
      <c r="E918" s="1">
        <v>7.1</v>
      </c>
      <c r="F918" t="s">
        <v>23</v>
      </c>
      <c r="G918" s="2" t="s">
        <v>14</v>
      </c>
      <c r="H918" s="2" t="s">
        <v>14</v>
      </c>
      <c r="I918" t="s">
        <v>14</v>
      </c>
      <c r="J918">
        <v>79.3</v>
      </c>
      <c r="K918" s="1">
        <v>88.1</v>
      </c>
      <c r="L918" t="s">
        <v>20</v>
      </c>
    </row>
    <row r="919" spans="1:12" x14ac:dyDescent="0.35">
      <c r="A919">
        <v>918</v>
      </c>
      <c r="B919" t="s">
        <v>17</v>
      </c>
      <c r="C919" s="1">
        <v>2.4</v>
      </c>
      <c r="D919">
        <v>87.5</v>
      </c>
      <c r="E919" s="1">
        <v>5.6</v>
      </c>
      <c r="F919" t="s">
        <v>13</v>
      </c>
      <c r="G919" s="2" t="s">
        <v>14</v>
      </c>
      <c r="H919" s="2" t="s">
        <v>14</v>
      </c>
      <c r="I919" t="s">
        <v>14</v>
      </c>
      <c r="J919">
        <v>64.2</v>
      </c>
      <c r="K919" s="1">
        <v>88.1</v>
      </c>
      <c r="L919" t="s">
        <v>20</v>
      </c>
    </row>
    <row r="920" spans="1:12" x14ac:dyDescent="0.35">
      <c r="A920">
        <v>919</v>
      </c>
      <c r="B920" t="s">
        <v>17</v>
      </c>
      <c r="C920" s="1">
        <v>4.3</v>
      </c>
      <c r="D920">
        <v>100</v>
      </c>
      <c r="E920" s="1">
        <v>8.1</v>
      </c>
      <c r="F920" t="s">
        <v>24</v>
      </c>
      <c r="G920" s="2" t="s">
        <v>14</v>
      </c>
      <c r="H920" s="2" t="s">
        <v>14</v>
      </c>
      <c r="I920" t="s">
        <v>15</v>
      </c>
      <c r="J920">
        <v>84.8</v>
      </c>
      <c r="K920" s="1">
        <v>97.3</v>
      </c>
      <c r="L920" t="s">
        <v>16</v>
      </c>
    </row>
    <row r="921" spans="1:12" x14ac:dyDescent="0.35">
      <c r="A921">
        <v>920</v>
      </c>
      <c r="B921" t="s">
        <v>17</v>
      </c>
      <c r="C921" s="1">
        <v>2.2000000000000002</v>
      </c>
      <c r="D921">
        <v>100</v>
      </c>
      <c r="E921" s="1">
        <v>8.1</v>
      </c>
      <c r="F921" t="s">
        <v>18</v>
      </c>
      <c r="G921" s="2" t="s">
        <v>14</v>
      </c>
      <c r="H921" s="2" t="s">
        <v>15</v>
      </c>
      <c r="I921" t="s">
        <v>14</v>
      </c>
      <c r="J921">
        <v>66.900000000000006</v>
      </c>
      <c r="K921" s="1">
        <v>83.4</v>
      </c>
      <c r="L921" t="s">
        <v>20</v>
      </c>
    </row>
    <row r="922" spans="1:12" x14ac:dyDescent="0.35">
      <c r="A922">
        <v>921</v>
      </c>
      <c r="B922" t="s">
        <v>12</v>
      </c>
      <c r="C922" s="1">
        <v>3.5</v>
      </c>
      <c r="D922">
        <v>91.1</v>
      </c>
      <c r="E922" s="1">
        <v>7.4</v>
      </c>
      <c r="F922" t="s">
        <v>19</v>
      </c>
      <c r="G922" s="2" t="s">
        <v>14</v>
      </c>
      <c r="H922" s="2" t="s">
        <v>14</v>
      </c>
      <c r="I922" t="s">
        <v>14</v>
      </c>
      <c r="J922">
        <v>64.5</v>
      </c>
      <c r="K922" s="1">
        <v>72.8</v>
      </c>
      <c r="L922" t="s">
        <v>22</v>
      </c>
    </row>
    <row r="923" spans="1:12" x14ac:dyDescent="0.35">
      <c r="A923">
        <v>922</v>
      </c>
      <c r="B923" t="s">
        <v>12</v>
      </c>
      <c r="C923" s="1">
        <v>3.5</v>
      </c>
      <c r="D923">
        <v>83.2</v>
      </c>
      <c r="E923" s="1">
        <v>7.2</v>
      </c>
      <c r="F923" t="s">
        <v>18</v>
      </c>
      <c r="G923" s="2" t="s">
        <v>14</v>
      </c>
      <c r="H923" s="2" t="s">
        <v>14</v>
      </c>
      <c r="I923" t="s">
        <v>15</v>
      </c>
      <c r="J923">
        <v>75.7</v>
      </c>
      <c r="K923" s="1">
        <v>90.5</v>
      </c>
      <c r="L923" t="s">
        <v>16</v>
      </c>
    </row>
    <row r="924" spans="1:12" x14ac:dyDescent="0.35">
      <c r="A924">
        <v>923</v>
      </c>
      <c r="B924" t="s">
        <v>12</v>
      </c>
      <c r="C924" s="1">
        <v>5.0999999999999996</v>
      </c>
      <c r="D924">
        <v>90.3</v>
      </c>
      <c r="E924" s="1">
        <v>8.9</v>
      </c>
      <c r="F924" t="s">
        <v>18</v>
      </c>
      <c r="G924" s="2" t="s">
        <v>14</v>
      </c>
      <c r="H924" s="2" t="s">
        <v>14</v>
      </c>
      <c r="I924" t="s">
        <v>14</v>
      </c>
      <c r="J924">
        <v>57.2</v>
      </c>
      <c r="K924" s="1">
        <v>83.8</v>
      </c>
      <c r="L924" t="s">
        <v>20</v>
      </c>
    </row>
    <row r="925" spans="1:12" x14ac:dyDescent="0.35">
      <c r="A925">
        <v>924</v>
      </c>
      <c r="B925" t="s">
        <v>12</v>
      </c>
      <c r="C925" s="1">
        <v>4.2</v>
      </c>
      <c r="D925">
        <v>93.9</v>
      </c>
      <c r="E925" s="1">
        <v>6.8</v>
      </c>
      <c r="F925" t="s">
        <v>23</v>
      </c>
      <c r="G925" s="2" t="s">
        <v>14</v>
      </c>
      <c r="H925" s="2" t="s">
        <v>14</v>
      </c>
      <c r="I925" t="s">
        <v>15</v>
      </c>
      <c r="J925">
        <v>82.3</v>
      </c>
      <c r="K925" s="1">
        <v>93.1</v>
      </c>
      <c r="L925" t="s">
        <v>16</v>
      </c>
    </row>
    <row r="926" spans="1:12" x14ac:dyDescent="0.35">
      <c r="A926">
        <v>925</v>
      </c>
      <c r="B926" t="s">
        <v>12</v>
      </c>
      <c r="C926" s="1">
        <v>3.5</v>
      </c>
      <c r="D926">
        <v>81.8</v>
      </c>
      <c r="E926" s="1">
        <v>5.4</v>
      </c>
      <c r="F926" t="s">
        <v>13</v>
      </c>
      <c r="G926" s="2" t="s">
        <v>14</v>
      </c>
      <c r="H926" s="2" t="s">
        <v>14</v>
      </c>
      <c r="I926" t="s">
        <v>15</v>
      </c>
      <c r="J926">
        <v>57.3</v>
      </c>
      <c r="K926" s="1">
        <v>71.2</v>
      </c>
      <c r="L926" t="s">
        <v>22</v>
      </c>
    </row>
    <row r="927" spans="1:12" x14ac:dyDescent="0.35">
      <c r="A927">
        <v>926</v>
      </c>
      <c r="B927" t="s">
        <v>12</v>
      </c>
      <c r="C927" s="1">
        <v>4.7</v>
      </c>
      <c r="D927">
        <v>100</v>
      </c>
      <c r="E927" s="1">
        <v>7.3</v>
      </c>
      <c r="F927" t="s">
        <v>13</v>
      </c>
      <c r="G927" s="2" t="s">
        <v>14</v>
      </c>
      <c r="H927" s="2" t="s">
        <v>15</v>
      </c>
      <c r="I927" t="s">
        <v>15</v>
      </c>
      <c r="J927">
        <v>57.4</v>
      </c>
      <c r="K927" s="1">
        <v>95.3</v>
      </c>
      <c r="L927" t="s">
        <v>16</v>
      </c>
    </row>
    <row r="928" spans="1:12" x14ac:dyDescent="0.35">
      <c r="A928">
        <v>927</v>
      </c>
      <c r="B928" t="s">
        <v>12</v>
      </c>
      <c r="C928" s="1">
        <v>5.6</v>
      </c>
      <c r="D928">
        <v>87.3</v>
      </c>
      <c r="E928" s="1">
        <v>9.3000000000000007</v>
      </c>
      <c r="F928" t="s">
        <v>13</v>
      </c>
      <c r="G928" s="2" t="s">
        <v>14</v>
      </c>
      <c r="H928" s="2" t="s">
        <v>15</v>
      </c>
      <c r="I928" t="s">
        <v>15</v>
      </c>
      <c r="J928">
        <v>59.1</v>
      </c>
      <c r="K928" s="1">
        <v>99.6</v>
      </c>
      <c r="L928" t="s">
        <v>16</v>
      </c>
    </row>
    <row r="929" spans="1:12" x14ac:dyDescent="0.35">
      <c r="A929">
        <v>928</v>
      </c>
      <c r="B929" t="s">
        <v>17</v>
      </c>
      <c r="C929" s="1">
        <v>4.3</v>
      </c>
      <c r="D929">
        <v>90</v>
      </c>
      <c r="E929" s="1">
        <v>5.6</v>
      </c>
      <c r="F929" t="s">
        <v>23</v>
      </c>
      <c r="G929" s="2" t="s">
        <v>14</v>
      </c>
      <c r="H929" s="2" t="s">
        <v>15</v>
      </c>
      <c r="I929" t="s">
        <v>15</v>
      </c>
      <c r="J929">
        <v>79.099999999999994</v>
      </c>
      <c r="K929" s="1">
        <v>92.4</v>
      </c>
      <c r="L929" t="s">
        <v>16</v>
      </c>
    </row>
    <row r="930" spans="1:12" x14ac:dyDescent="0.35">
      <c r="A930">
        <v>929</v>
      </c>
      <c r="B930" t="s">
        <v>17</v>
      </c>
      <c r="C930" s="1">
        <v>3.5</v>
      </c>
      <c r="D930">
        <v>91.7</v>
      </c>
      <c r="E930" s="1">
        <v>6.4</v>
      </c>
      <c r="F930" t="s">
        <v>18</v>
      </c>
      <c r="G930" s="2" t="s">
        <v>14</v>
      </c>
      <c r="H930" s="2" t="s">
        <v>15</v>
      </c>
      <c r="I930" t="s">
        <v>14</v>
      </c>
      <c r="J930">
        <v>62.6</v>
      </c>
      <c r="K930" s="1">
        <v>75.400000000000006</v>
      </c>
      <c r="L930" t="s">
        <v>22</v>
      </c>
    </row>
    <row r="931" spans="1:12" x14ac:dyDescent="0.35">
      <c r="A931">
        <v>930</v>
      </c>
      <c r="B931" t="s">
        <v>12</v>
      </c>
      <c r="C931" s="1">
        <v>1.5</v>
      </c>
      <c r="D931">
        <v>89.2</v>
      </c>
      <c r="E931" s="1">
        <v>7.3</v>
      </c>
      <c r="F931" t="s">
        <v>18</v>
      </c>
      <c r="G931" s="2" t="s">
        <v>14</v>
      </c>
      <c r="H931" s="2" t="s">
        <v>15</v>
      </c>
      <c r="I931" t="s">
        <v>15</v>
      </c>
      <c r="J931">
        <v>53.8</v>
      </c>
      <c r="K931" s="1">
        <v>80.8</v>
      </c>
      <c r="L931" t="s">
        <v>20</v>
      </c>
    </row>
    <row r="932" spans="1:12" x14ac:dyDescent="0.35">
      <c r="A932">
        <v>931</v>
      </c>
      <c r="B932" t="s">
        <v>12</v>
      </c>
      <c r="C932" s="1">
        <v>1.9</v>
      </c>
      <c r="D932">
        <v>93.4</v>
      </c>
      <c r="E932" s="1">
        <v>6.7</v>
      </c>
      <c r="F932" t="s">
        <v>18</v>
      </c>
      <c r="G932" s="2" t="s">
        <v>14</v>
      </c>
      <c r="H932" s="2" t="s">
        <v>15</v>
      </c>
      <c r="I932" t="s">
        <v>15</v>
      </c>
      <c r="J932">
        <v>62.7</v>
      </c>
      <c r="K932" s="1">
        <v>72.900000000000006</v>
      </c>
      <c r="L932" t="s">
        <v>22</v>
      </c>
    </row>
    <row r="933" spans="1:12" x14ac:dyDescent="0.35">
      <c r="A933">
        <v>932</v>
      </c>
      <c r="B933" t="s">
        <v>17</v>
      </c>
      <c r="C933" s="1">
        <v>3</v>
      </c>
      <c r="D933">
        <v>78.8</v>
      </c>
      <c r="E933" s="1">
        <v>5.6</v>
      </c>
      <c r="F933" t="s">
        <v>13</v>
      </c>
      <c r="G933" s="2" t="s">
        <v>14</v>
      </c>
      <c r="H933" s="2" t="s">
        <v>14</v>
      </c>
      <c r="I933" t="s">
        <v>14</v>
      </c>
      <c r="J933">
        <v>69.599999999999994</v>
      </c>
      <c r="K933" s="1">
        <v>63.7</v>
      </c>
      <c r="L933" t="s">
        <v>21</v>
      </c>
    </row>
    <row r="934" spans="1:12" x14ac:dyDescent="0.35">
      <c r="A934">
        <v>933</v>
      </c>
      <c r="B934" t="s">
        <v>12</v>
      </c>
      <c r="C934" s="1">
        <v>2.6</v>
      </c>
      <c r="D934">
        <v>79.400000000000006</v>
      </c>
      <c r="E934" s="1">
        <v>8.1</v>
      </c>
      <c r="F934" t="s">
        <v>18</v>
      </c>
      <c r="G934" s="2" t="s">
        <v>14</v>
      </c>
      <c r="H934" s="2" t="s">
        <v>14</v>
      </c>
      <c r="I934" t="s">
        <v>14</v>
      </c>
      <c r="J934">
        <v>55.8</v>
      </c>
      <c r="K934" s="1">
        <v>75.3</v>
      </c>
      <c r="L934" t="s">
        <v>22</v>
      </c>
    </row>
    <row r="935" spans="1:12" x14ac:dyDescent="0.35">
      <c r="A935">
        <v>934</v>
      </c>
      <c r="B935" t="s">
        <v>12</v>
      </c>
      <c r="C935" s="1">
        <v>3.2</v>
      </c>
      <c r="D935">
        <v>74</v>
      </c>
      <c r="E935" s="1">
        <v>9.6</v>
      </c>
      <c r="F935" t="s">
        <v>13</v>
      </c>
      <c r="G935" s="2" t="s">
        <v>14</v>
      </c>
      <c r="H935" s="2" t="s">
        <v>14</v>
      </c>
      <c r="I935" t="s">
        <v>15</v>
      </c>
      <c r="J935">
        <v>56.2</v>
      </c>
      <c r="K935" s="1">
        <v>71.7</v>
      </c>
      <c r="L935" t="s">
        <v>22</v>
      </c>
    </row>
    <row r="936" spans="1:12" x14ac:dyDescent="0.35">
      <c r="A936">
        <v>935</v>
      </c>
      <c r="B936" t="s">
        <v>17</v>
      </c>
      <c r="C936" s="1">
        <v>3.6</v>
      </c>
      <c r="D936">
        <v>89.4</v>
      </c>
      <c r="E936" s="1">
        <v>7</v>
      </c>
      <c r="F936" t="s">
        <v>13</v>
      </c>
      <c r="G936" s="2" t="s">
        <v>14</v>
      </c>
      <c r="H936" s="2" t="s">
        <v>15</v>
      </c>
      <c r="I936" t="s">
        <v>15</v>
      </c>
      <c r="J936">
        <v>95.3</v>
      </c>
      <c r="K936" s="1">
        <v>100</v>
      </c>
      <c r="L936" t="s">
        <v>16</v>
      </c>
    </row>
    <row r="937" spans="1:12" x14ac:dyDescent="0.35">
      <c r="A937">
        <v>936</v>
      </c>
      <c r="B937" t="s">
        <v>12</v>
      </c>
      <c r="C937" s="1">
        <v>4.3</v>
      </c>
      <c r="D937">
        <v>92.8</v>
      </c>
      <c r="E937" s="1">
        <v>5.7</v>
      </c>
      <c r="F937" t="s">
        <v>18</v>
      </c>
      <c r="G937" s="2" t="s">
        <v>14</v>
      </c>
      <c r="H937" s="2" t="s">
        <v>15</v>
      </c>
      <c r="I937" t="s">
        <v>15</v>
      </c>
      <c r="J937">
        <v>59.7</v>
      </c>
      <c r="K937" s="1">
        <v>83.3</v>
      </c>
      <c r="L937" t="s">
        <v>20</v>
      </c>
    </row>
    <row r="938" spans="1:12" x14ac:dyDescent="0.35">
      <c r="A938">
        <v>937</v>
      </c>
      <c r="B938" t="s">
        <v>17</v>
      </c>
      <c r="C938" s="1">
        <v>3.4</v>
      </c>
      <c r="D938">
        <v>89.6</v>
      </c>
      <c r="E938" s="1">
        <v>4.9000000000000004</v>
      </c>
      <c r="F938" t="s">
        <v>13</v>
      </c>
      <c r="G938" s="2" t="s">
        <v>14</v>
      </c>
      <c r="H938" s="2" t="s">
        <v>15</v>
      </c>
      <c r="I938" t="s">
        <v>15</v>
      </c>
      <c r="J938">
        <v>66.099999999999994</v>
      </c>
      <c r="K938" s="1">
        <v>85.6</v>
      </c>
      <c r="L938" t="s">
        <v>20</v>
      </c>
    </row>
    <row r="939" spans="1:12" x14ac:dyDescent="0.35">
      <c r="A939">
        <v>938</v>
      </c>
      <c r="B939" t="s">
        <v>12</v>
      </c>
      <c r="C939" s="1">
        <v>4.2</v>
      </c>
      <c r="D939">
        <v>100</v>
      </c>
      <c r="E939" s="1">
        <v>7.1</v>
      </c>
      <c r="F939" t="s">
        <v>24</v>
      </c>
      <c r="G939" s="2" t="s">
        <v>15</v>
      </c>
      <c r="H939" s="2" t="s">
        <v>14</v>
      </c>
      <c r="I939" t="s">
        <v>14</v>
      </c>
      <c r="J939">
        <v>65.599999999999994</v>
      </c>
      <c r="K939" s="1">
        <v>93.1</v>
      </c>
      <c r="L939" t="s">
        <v>16</v>
      </c>
    </row>
    <row r="940" spans="1:12" x14ac:dyDescent="0.35">
      <c r="A940">
        <v>939</v>
      </c>
      <c r="B940" t="s">
        <v>17</v>
      </c>
      <c r="C940" s="1">
        <v>3.6</v>
      </c>
      <c r="D940">
        <v>84.9</v>
      </c>
      <c r="E940" s="1">
        <v>8.1</v>
      </c>
      <c r="F940" t="s">
        <v>18</v>
      </c>
      <c r="G940" s="2" t="s">
        <v>14</v>
      </c>
      <c r="H940" s="2" t="s">
        <v>15</v>
      </c>
      <c r="I940" t="s">
        <v>15</v>
      </c>
      <c r="J940">
        <v>64.900000000000006</v>
      </c>
      <c r="K940" s="1">
        <v>77.3</v>
      </c>
      <c r="L940" t="s">
        <v>22</v>
      </c>
    </row>
    <row r="941" spans="1:12" x14ac:dyDescent="0.35">
      <c r="A941">
        <v>940</v>
      </c>
      <c r="B941" t="s">
        <v>17</v>
      </c>
      <c r="C941" s="1">
        <v>0.5</v>
      </c>
      <c r="D941">
        <v>91.7</v>
      </c>
      <c r="E941" s="1">
        <v>7.4</v>
      </c>
      <c r="F941" t="s">
        <v>13</v>
      </c>
      <c r="G941" s="2" t="s">
        <v>14</v>
      </c>
      <c r="H941" s="2" t="s">
        <v>14</v>
      </c>
      <c r="I941" t="s">
        <v>15</v>
      </c>
      <c r="J941">
        <v>77.5</v>
      </c>
      <c r="K941" s="1">
        <v>74.8</v>
      </c>
      <c r="L941" t="s">
        <v>22</v>
      </c>
    </row>
    <row r="942" spans="1:12" x14ac:dyDescent="0.35">
      <c r="A942">
        <v>941</v>
      </c>
      <c r="B942" t="s">
        <v>17</v>
      </c>
      <c r="C942" s="1">
        <v>2.1</v>
      </c>
      <c r="D942">
        <v>74.099999999999994</v>
      </c>
      <c r="E942" s="1">
        <v>6.8</v>
      </c>
      <c r="F942" t="s">
        <v>23</v>
      </c>
      <c r="G942" s="2" t="s">
        <v>14</v>
      </c>
      <c r="H942" s="2" t="s">
        <v>14</v>
      </c>
      <c r="I942" t="s">
        <v>14</v>
      </c>
      <c r="J942">
        <v>81.400000000000006</v>
      </c>
      <c r="K942" s="1">
        <v>76.7</v>
      </c>
      <c r="L942" t="s">
        <v>22</v>
      </c>
    </row>
    <row r="943" spans="1:12" x14ac:dyDescent="0.35">
      <c r="A943">
        <v>942</v>
      </c>
      <c r="B943" t="s">
        <v>12</v>
      </c>
      <c r="C943" s="1">
        <v>3.3</v>
      </c>
      <c r="D943">
        <v>81.099999999999994</v>
      </c>
      <c r="E943" s="1">
        <v>6.1</v>
      </c>
      <c r="F943" t="s">
        <v>13</v>
      </c>
      <c r="G943" s="2" t="s">
        <v>15</v>
      </c>
      <c r="H943" s="2" t="s">
        <v>14</v>
      </c>
      <c r="I943" t="s">
        <v>15</v>
      </c>
      <c r="J943">
        <v>66.3</v>
      </c>
      <c r="K943" s="1">
        <v>85.3</v>
      </c>
      <c r="L943" t="s">
        <v>20</v>
      </c>
    </row>
    <row r="944" spans="1:12" x14ac:dyDescent="0.35">
      <c r="A944">
        <v>943</v>
      </c>
      <c r="B944" t="s">
        <v>17</v>
      </c>
      <c r="C944" s="1">
        <v>1.7</v>
      </c>
      <c r="D944">
        <v>92</v>
      </c>
      <c r="E944" s="1">
        <v>5.5</v>
      </c>
      <c r="F944" t="s">
        <v>23</v>
      </c>
      <c r="G944" s="2" t="s">
        <v>14</v>
      </c>
      <c r="H944" s="2" t="s">
        <v>14</v>
      </c>
      <c r="I944" t="s">
        <v>15</v>
      </c>
      <c r="J944">
        <v>55.2</v>
      </c>
      <c r="K944" s="1">
        <v>68.599999999999994</v>
      </c>
      <c r="L944" t="s">
        <v>21</v>
      </c>
    </row>
    <row r="945" spans="1:12" x14ac:dyDescent="0.35">
      <c r="A945">
        <v>944</v>
      </c>
      <c r="B945" t="s">
        <v>12</v>
      </c>
      <c r="C945" s="1">
        <v>4.4000000000000004</v>
      </c>
      <c r="D945">
        <v>93.5</v>
      </c>
      <c r="E945" s="1">
        <v>7.8</v>
      </c>
      <c r="F945" t="s">
        <v>13</v>
      </c>
      <c r="G945" s="2" t="s">
        <v>14</v>
      </c>
      <c r="H945" s="2" t="s">
        <v>14</v>
      </c>
      <c r="I945" t="s">
        <v>15</v>
      </c>
      <c r="J945">
        <v>85.3</v>
      </c>
      <c r="K945" s="1">
        <v>96.4</v>
      </c>
      <c r="L945" t="s">
        <v>16</v>
      </c>
    </row>
    <row r="946" spans="1:12" x14ac:dyDescent="0.35">
      <c r="A946">
        <v>945</v>
      </c>
      <c r="B946" t="s">
        <v>12</v>
      </c>
      <c r="C946" s="1">
        <v>5.8</v>
      </c>
      <c r="D946">
        <v>82.1</v>
      </c>
      <c r="E946" s="1">
        <v>7.9</v>
      </c>
      <c r="F946" t="s">
        <v>13</v>
      </c>
      <c r="G946" s="2" t="s">
        <v>14</v>
      </c>
      <c r="H946" s="2" t="s">
        <v>14</v>
      </c>
      <c r="I946" t="s">
        <v>14</v>
      </c>
      <c r="J946">
        <v>68.900000000000006</v>
      </c>
      <c r="K946" s="1">
        <v>95.7</v>
      </c>
      <c r="L946" t="s">
        <v>16</v>
      </c>
    </row>
    <row r="947" spans="1:12" x14ac:dyDescent="0.35">
      <c r="A947">
        <v>946</v>
      </c>
      <c r="B947" t="s">
        <v>12</v>
      </c>
      <c r="C947" s="1">
        <v>5.3</v>
      </c>
      <c r="D947">
        <v>84.3</v>
      </c>
      <c r="E947" s="1">
        <v>4.9000000000000004</v>
      </c>
      <c r="F947" t="s">
        <v>18</v>
      </c>
      <c r="G947" s="2" t="s">
        <v>14</v>
      </c>
      <c r="H947" s="2" t="s">
        <v>14</v>
      </c>
      <c r="I947" t="s">
        <v>15</v>
      </c>
      <c r="J947">
        <v>90.8</v>
      </c>
      <c r="K947" s="1">
        <v>96.1</v>
      </c>
      <c r="L947" t="s">
        <v>16</v>
      </c>
    </row>
    <row r="948" spans="1:12" x14ac:dyDescent="0.35">
      <c r="A948">
        <v>947</v>
      </c>
      <c r="B948" t="s">
        <v>12</v>
      </c>
      <c r="C948" s="1">
        <v>3.2</v>
      </c>
      <c r="D948">
        <v>69.8</v>
      </c>
      <c r="E948" s="1">
        <v>8.6999999999999993</v>
      </c>
      <c r="F948" t="s">
        <v>23</v>
      </c>
      <c r="G948" s="2" t="s">
        <v>14</v>
      </c>
      <c r="H948" s="2" t="s">
        <v>15</v>
      </c>
      <c r="I948" t="s">
        <v>15</v>
      </c>
      <c r="J948">
        <v>43.1</v>
      </c>
      <c r="K948" s="1">
        <v>70.400000000000006</v>
      </c>
      <c r="L948" t="s">
        <v>22</v>
      </c>
    </row>
    <row r="949" spans="1:12" x14ac:dyDescent="0.35">
      <c r="A949">
        <v>948</v>
      </c>
      <c r="B949" t="s">
        <v>17</v>
      </c>
      <c r="C949" s="1">
        <v>5.7</v>
      </c>
      <c r="D949">
        <v>81.400000000000006</v>
      </c>
      <c r="E949" s="1">
        <v>7.5</v>
      </c>
      <c r="F949" t="s">
        <v>23</v>
      </c>
      <c r="G949" s="2" t="s">
        <v>14</v>
      </c>
      <c r="H949" s="2" t="s">
        <v>15</v>
      </c>
      <c r="I949" t="s">
        <v>15</v>
      </c>
      <c r="J949">
        <v>72.3</v>
      </c>
      <c r="K949" s="1">
        <v>85.8</v>
      </c>
      <c r="L949" t="s">
        <v>20</v>
      </c>
    </row>
    <row r="950" spans="1:12" x14ac:dyDescent="0.35">
      <c r="A950">
        <v>949</v>
      </c>
      <c r="B950" t="s">
        <v>17</v>
      </c>
      <c r="C950" s="1">
        <v>3.7</v>
      </c>
      <c r="D950">
        <v>93.9</v>
      </c>
      <c r="E950" s="1">
        <v>8.5</v>
      </c>
      <c r="F950" t="s">
        <v>18</v>
      </c>
      <c r="G950" s="2" t="s">
        <v>15</v>
      </c>
      <c r="H950" s="2" t="s">
        <v>15</v>
      </c>
      <c r="I950" t="s">
        <v>15</v>
      </c>
      <c r="J950">
        <v>93</v>
      </c>
      <c r="K950" s="1">
        <v>100</v>
      </c>
      <c r="L950" t="s">
        <v>16</v>
      </c>
    </row>
    <row r="951" spans="1:12" x14ac:dyDescent="0.35">
      <c r="A951">
        <v>950</v>
      </c>
      <c r="B951" t="s">
        <v>12</v>
      </c>
      <c r="C951" s="1">
        <v>3</v>
      </c>
      <c r="D951">
        <v>90.8</v>
      </c>
      <c r="E951" s="1">
        <v>5.2</v>
      </c>
      <c r="F951" t="s">
        <v>13</v>
      </c>
      <c r="G951" s="2" t="s">
        <v>15</v>
      </c>
      <c r="H951" s="2" t="s">
        <v>14</v>
      </c>
      <c r="I951" t="s">
        <v>14</v>
      </c>
      <c r="J951">
        <v>65.8</v>
      </c>
      <c r="K951" s="1">
        <v>65.8</v>
      </c>
      <c r="L951" t="s">
        <v>21</v>
      </c>
    </row>
    <row r="952" spans="1:12" x14ac:dyDescent="0.35">
      <c r="A952">
        <v>951</v>
      </c>
      <c r="B952" t="s">
        <v>12</v>
      </c>
      <c r="C952" s="1">
        <v>2.6</v>
      </c>
      <c r="D952">
        <v>90</v>
      </c>
      <c r="E952" s="1">
        <v>5.2</v>
      </c>
      <c r="F952" t="s">
        <v>19</v>
      </c>
      <c r="G952" s="2" t="s">
        <v>15</v>
      </c>
      <c r="H952" s="2" t="s">
        <v>15</v>
      </c>
      <c r="I952" t="s">
        <v>15</v>
      </c>
      <c r="J952">
        <v>67.3</v>
      </c>
      <c r="K952" s="1">
        <v>72.400000000000006</v>
      </c>
      <c r="L952" t="s">
        <v>22</v>
      </c>
    </row>
    <row r="953" spans="1:12" x14ac:dyDescent="0.35">
      <c r="A953">
        <v>952</v>
      </c>
      <c r="B953" t="s">
        <v>17</v>
      </c>
      <c r="C953" s="1">
        <v>3</v>
      </c>
      <c r="D953">
        <v>85.5</v>
      </c>
      <c r="E953" s="1">
        <v>6.6</v>
      </c>
      <c r="F953" t="s">
        <v>13</v>
      </c>
      <c r="G953" s="2" t="s">
        <v>14</v>
      </c>
      <c r="H953" s="2" t="s">
        <v>15</v>
      </c>
      <c r="I953" t="s">
        <v>15</v>
      </c>
      <c r="J953">
        <v>73.5</v>
      </c>
      <c r="K953" s="1">
        <v>83.6</v>
      </c>
      <c r="L953" t="s">
        <v>20</v>
      </c>
    </row>
    <row r="954" spans="1:12" x14ac:dyDescent="0.35">
      <c r="A954">
        <v>953</v>
      </c>
      <c r="B954" t="s">
        <v>12</v>
      </c>
      <c r="C954" s="1">
        <v>2.9</v>
      </c>
      <c r="D954">
        <v>85.1</v>
      </c>
      <c r="E954" s="1">
        <v>7.4</v>
      </c>
      <c r="F954" t="s">
        <v>13</v>
      </c>
      <c r="G954" s="2" t="s">
        <v>14</v>
      </c>
      <c r="H954" s="2" t="s">
        <v>14</v>
      </c>
      <c r="I954" t="s">
        <v>14</v>
      </c>
      <c r="J954">
        <v>63.3</v>
      </c>
      <c r="K954" s="1">
        <v>89.5</v>
      </c>
      <c r="L954" t="s">
        <v>20</v>
      </c>
    </row>
    <row r="955" spans="1:12" x14ac:dyDescent="0.35">
      <c r="A955">
        <v>954</v>
      </c>
      <c r="B955" t="s">
        <v>17</v>
      </c>
      <c r="C955" s="1">
        <v>3.8</v>
      </c>
      <c r="D955">
        <v>78.400000000000006</v>
      </c>
      <c r="E955" s="1">
        <v>9</v>
      </c>
      <c r="F955" t="s">
        <v>19</v>
      </c>
      <c r="G955" s="2" t="s">
        <v>14</v>
      </c>
      <c r="H955" s="2" t="s">
        <v>14</v>
      </c>
      <c r="I955" t="s">
        <v>15</v>
      </c>
      <c r="J955">
        <v>66.3</v>
      </c>
      <c r="K955" s="1">
        <v>77.900000000000006</v>
      </c>
      <c r="L955" t="s">
        <v>22</v>
      </c>
    </row>
    <row r="956" spans="1:12" x14ac:dyDescent="0.35">
      <c r="A956">
        <v>955</v>
      </c>
      <c r="B956" t="s">
        <v>12</v>
      </c>
      <c r="C956" s="1">
        <v>3.7</v>
      </c>
      <c r="D956">
        <v>92</v>
      </c>
      <c r="E956" s="1">
        <v>7.6</v>
      </c>
      <c r="F956" t="s">
        <v>23</v>
      </c>
      <c r="G956" s="2" t="s">
        <v>14</v>
      </c>
      <c r="H956" s="2" t="s">
        <v>14</v>
      </c>
      <c r="I956" t="s">
        <v>15</v>
      </c>
      <c r="J956">
        <v>65.900000000000006</v>
      </c>
      <c r="K956" s="1">
        <v>100</v>
      </c>
      <c r="L956" t="s">
        <v>16</v>
      </c>
    </row>
    <row r="957" spans="1:12" x14ac:dyDescent="0.35">
      <c r="A957">
        <v>956</v>
      </c>
      <c r="B957" t="s">
        <v>12</v>
      </c>
      <c r="C957" s="1">
        <v>3.5</v>
      </c>
      <c r="D957">
        <v>89.2</v>
      </c>
      <c r="E957" s="1">
        <v>6.5</v>
      </c>
      <c r="F957" t="s">
        <v>13</v>
      </c>
      <c r="G957" s="2" t="s">
        <v>14</v>
      </c>
      <c r="H957" s="2" t="s">
        <v>14</v>
      </c>
      <c r="I957" t="s">
        <v>15</v>
      </c>
      <c r="J957">
        <v>62.5</v>
      </c>
      <c r="K957" s="1">
        <v>88.3</v>
      </c>
      <c r="L957" t="s">
        <v>20</v>
      </c>
    </row>
    <row r="958" spans="1:12" x14ac:dyDescent="0.35">
      <c r="A958">
        <v>957</v>
      </c>
      <c r="B958" t="s">
        <v>17</v>
      </c>
      <c r="C958" s="1">
        <v>4.2</v>
      </c>
      <c r="D958">
        <v>89.9</v>
      </c>
      <c r="E958" s="1">
        <v>5.6</v>
      </c>
      <c r="F958" t="s">
        <v>23</v>
      </c>
      <c r="G958" s="2" t="s">
        <v>14</v>
      </c>
      <c r="H958" s="2" t="s">
        <v>15</v>
      </c>
      <c r="I958" t="s">
        <v>14</v>
      </c>
      <c r="J958">
        <v>84.7</v>
      </c>
      <c r="K958" s="1">
        <v>93.5</v>
      </c>
      <c r="L958" t="s">
        <v>16</v>
      </c>
    </row>
    <row r="959" spans="1:12" x14ac:dyDescent="0.35">
      <c r="A959">
        <v>958</v>
      </c>
      <c r="B959" t="s">
        <v>12</v>
      </c>
      <c r="C959" s="1">
        <v>5.3</v>
      </c>
      <c r="D959">
        <v>79.7</v>
      </c>
      <c r="E959" s="1">
        <v>8.3000000000000007</v>
      </c>
      <c r="F959" t="s">
        <v>24</v>
      </c>
      <c r="G959" s="2" t="s">
        <v>14</v>
      </c>
      <c r="H959" s="2" t="s">
        <v>15</v>
      </c>
      <c r="I959" t="s">
        <v>15</v>
      </c>
      <c r="J959">
        <v>75.5</v>
      </c>
      <c r="K959" s="1">
        <v>89</v>
      </c>
      <c r="L959" t="s">
        <v>20</v>
      </c>
    </row>
    <row r="960" spans="1:12" x14ac:dyDescent="0.35">
      <c r="A960">
        <v>959</v>
      </c>
      <c r="B960" t="s">
        <v>17</v>
      </c>
      <c r="C960" s="1">
        <v>4.9000000000000004</v>
      </c>
      <c r="D960">
        <v>63.5</v>
      </c>
      <c r="E960" s="1">
        <v>5.6</v>
      </c>
      <c r="F960" t="s">
        <v>13</v>
      </c>
      <c r="G960" s="2" t="s">
        <v>14</v>
      </c>
      <c r="H960" s="2" t="s">
        <v>14</v>
      </c>
      <c r="I960" t="s">
        <v>15</v>
      </c>
      <c r="J960">
        <v>73</v>
      </c>
      <c r="K960" s="1">
        <v>87.6</v>
      </c>
      <c r="L960" t="s">
        <v>20</v>
      </c>
    </row>
    <row r="961" spans="1:12" x14ac:dyDescent="0.35">
      <c r="A961">
        <v>960</v>
      </c>
      <c r="B961" t="s">
        <v>12</v>
      </c>
      <c r="C961" s="1">
        <v>1.3</v>
      </c>
      <c r="D961">
        <v>96</v>
      </c>
      <c r="E961" s="1">
        <v>8.8000000000000007</v>
      </c>
      <c r="F961" t="s">
        <v>13</v>
      </c>
      <c r="G961" s="2" t="s">
        <v>14</v>
      </c>
      <c r="H961" s="2" t="s">
        <v>15</v>
      </c>
      <c r="I961" t="s">
        <v>15</v>
      </c>
      <c r="J961">
        <v>79.7</v>
      </c>
      <c r="K961" s="1">
        <v>80.5</v>
      </c>
      <c r="L961" t="s">
        <v>20</v>
      </c>
    </row>
    <row r="962" spans="1:12" x14ac:dyDescent="0.35">
      <c r="A962">
        <v>961</v>
      </c>
      <c r="B962" t="s">
        <v>12</v>
      </c>
      <c r="C962" s="1">
        <v>0.5</v>
      </c>
      <c r="D962">
        <v>80.2</v>
      </c>
      <c r="E962" s="1">
        <v>6.5</v>
      </c>
      <c r="F962" t="s">
        <v>13</v>
      </c>
      <c r="G962" s="2" t="s">
        <v>14</v>
      </c>
      <c r="H962" s="2" t="s">
        <v>15</v>
      </c>
      <c r="I962" t="s">
        <v>15</v>
      </c>
      <c r="J962">
        <v>66.8</v>
      </c>
      <c r="K962" s="1">
        <v>75.400000000000006</v>
      </c>
      <c r="L962" t="s">
        <v>22</v>
      </c>
    </row>
    <row r="963" spans="1:12" x14ac:dyDescent="0.35">
      <c r="A963">
        <v>962</v>
      </c>
      <c r="B963" t="s">
        <v>12</v>
      </c>
      <c r="C963" s="1">
        <v>4.9000000000000004</v>
      </c>
      <c r="D963">
        <v>76.400000000000006</v>
      </c>
      <c r="E963" s="1">
        <v>8.6999999999999993</v>
      </c>
      <c r="F963" t="s">
        <v>19</v>
      </c>
      <c r="G963" s="2" t="s">
        <v>14</v>
      </c>
      <c r="H963" s="2" t="s">
        <v>15</v>
      </c>
      <c r="I963" t="s">
        <v>15</v>
      </c>
      <c r="J963">
        <v>60.7</v>
      </c>
      <c r="K963" s="1">
        <v>80.7</v>
      </c>
      <c r="L963" t="s">
        <v>20</v>
      </c>
    </row>
    <row r="964" spans="1:12" x14ac:dyDescent="0.35">
      <c r="A964">
        <v>963</v>
      </c>
      <c r="B964" t="s">
        <v>17</v>
      </c>
      <c r="C964" s="1">
        <v>1.4</v>
      </c>
      <c r="D964">
        <v>91.9</v>
      </c>
      <c r="E964" s="1">
        <v>7.6</v>
      </c>
      <c r="F964" t="s">
        <v>23</v>
      </c>
      <c r="G964" s="2" t="s">
        <v>14</v>
      </c>
      <c r="H964" s="2" t="s">
        <v>14</v>
      </c>
      <c r="I964" t="s">
        <v>14</v>
      </c>
      <c r="J964">
        <v>62.8</v>
      </c>
      <c r="K964" s="1">
        <v>73</v>
      </c>
      <c r="L964" t="s">
        <v>22</v>
      </c>
    </row>
    <row r="965" spans="1:12" x14ac:dyDescent="0.35">
      <c r="A965">
        <v>964</v>
      </c>
      <c r="B965" t="s">
        <v>12</v>
      </c>
      <c r="C965" s="1">
        <v>3.2</v>
      </c>
      <c r="D965">
        <v>81.099999999999994</v>
      </c>
      <c r="E965" s="1">
        <v>6.6</v>
      </c>
      <c r="F965" t="s">
        <v>18</v>
      </c>
      <c r="G965" s="2" t="s">
        <v>14</v>
      </c>
      <c r="H965" s="2" t="s">
        <v>15</v>
      </c>
      <c r="I965" t="s">
        <v>15</v>
      </c>
      <c r="J965">
        <v>70</v>
      </c>
      <c r="K965" s="1">
        <v>78.400000000000006</v>
      </c>
      <c r="L965" t="s">
        <v>22</v>
      </c>
    </row>
    <row r="966" spans="1:12" x14ac:dyDescent="0.35">
      <c r="A966">
        <v>965</v>
      </c>
      <c r="B966" t="s">
        <v>12</v>
      </c>
      <c r="C966" s="1">
        <v>1.7</v>
      </c>
      <c r="D966">
        <v>95.6</v>
      </c>
      <c r="E966" s="1">
        <v>6.2</v>
      </c>
      <c r="F966" t="s">
        <v>24</v>
      </c>
      <c r="G966" s="2" t="s">
        <v>14</v>
      </c>
      <c r="H966" s="2" t="s">
        <v>14</v>
      </c>
      <c r="I966" t="s">
        <v>15</v>
      </c>
      <c r="J966">
        <v>57.3</v>
      </c>
      <c r="K966" s="1">
        <v>69.5</v>
      </c>
      <c r="L966" t="s">
        <v>21</v>
      </c>
    </row>
    <row r="967" spans="1:12" x14ac:dyDescent="0.35">
      <c r="A967">
        <v>966</v>
      </c>
      <c r="B967" t="s">
        <v>12</v>
      </c>
      <c r="C967" s="1">
        <v>0.8</v>
      </c>
      <c r="D967">
        <v>91.2</v>
      </c>
      <c r="E967" s="1">
        <v>6.4</v>
      </c>
      <c r="F967" t="s">
        <v>13</v>
      </c>
      <c r="G967" s="2" t="s">
        <v>14</v>
      </c>
      <c r="H967" s="2" t="s">
        <v>15</v>
      </c>
      <c r="I967" t="s">
        <v>15</v>
      </c>
      <c r="J967">
        <v>64</v>
      </c>
      <c r="K967" s="1">
        <v>76.2</v>
      </c>
      <c r="L967" t="s">
        <v>22</v>
      </c>
    </row>
    <row r="968" spans="1:12" x14ac:dyDescent="0.35">
      <c r="A968">
        <v>967</v>
      </c>
      <c r="B968" t="s">
        <v>12</v>
      </c>
      <c r="C968" s="1">
        <v>4.3</v>
      </c>
      <c r="D968">
        <v>91.8</v>
      </c>
      <c r="E968" s="1">
        <v>7.3</v>
      </c>
      <c r="F968" t="s">
        <v>18</v>
      </c>
      <c r="G968" s="2" t="s">
        <v>14</v>
      </c>
      <c r="H968" s="2" t="s">
        <v>14</v>
      </c>
      <c r="I968" t="s">
        <v>14</v>
      </c>
      <c r="J968">
        <v>63.8</v>
      </c>
      <c r="K968" s="1">
        <v>90</v>
      </c>
      <c r="L968" t="s">
        <v>16</v>
      </c>
    </row>
    <row r="969" spans="1:12" x14ac:dyDescent="0.35">
      <c r="A969">
        <v>968</v>
      </c>
      <c r="B969" t="s">
        <v>17</v>
      </c>
      <c r="C969" s="1">
        <v>4.5999999999999996</v>
      </c>
      <c r="D969">
        <v>71.3</v>
      </c>
      <c r="E969" s="1">
        <v>6.9</v>
      </c>
      <c r="F969" t="s">
        <v>13</v>
      </c>
      <c r="G969" s="2" t="s">
        <v>14</v>
      </c>
      <c r="H969" s="2" t="s">
        <v>14</v>
      </c>
      <c r="I969" t="s">
        <v>15</v>
      </c>
      <c r="J969">
        <v>95.5</v>
      </c>
      <c r="K969" s="1">
        <v>100</v>
      </c>
      <c r="L969" t="s">
        <v>16</v>
      </c>
    </row>
    <row r="970" spans="1:12" x14ac:dyDescent="0.35">
      <c r="A970">
        <v>969</v>
      </c>
      <c r="B970" t="s">
        <v>17</v>
      </c>
      <c r="C970" s="1">
        <v>2.6</v>
      </c>
      <c r="D970">
        <v>97.1</v>
      </c>
      <c r="E970" s="1">
        <v>6.1</v>
      </c>
      <c r="F970" t="s">
        <v>13</v>
      </c>
      <c r="G970" s="2" t="s">
        <v>14</v>
      </c>
      <c r="H970" s="2" t="s">
        <v>15</v>
      </c>
      <c r="I970" t="s">
        <v>15</v>
      </c>
      <c r="J970">
        <v>36.700000000000003</v>
      </c>
      <c r="K970" s="1">
        <v>60</v>
      </c>
      <c r="L970" t="s">
        <v>21</v>
      </c>
    </row>
    <row r="971" spans="1:12" x14ac:dyDescent="0.35">
      <c r="A971">
        <v>970</v>
      </c>
      <c r="B971" t="s">
        <v>12</v>
      </c>
      <c r="C971" s="1">
        <v>0.5</v>
      </c>
      <c r="D971">
        <v>87.6</v>
      </c>
      <c r="E971" s="1">
        <v>6.6</v>
      </c>
      <c r="F971" t="s">
        <v>24</v>
      </c>
      <c r="G971" s="2" t="s">
        <v>14</v>
      </c>
      <c r="H971" s="2" t="s">
        <v>14</v>
      </c>
      <c r="I971" t="s">
        <v>15</v>
      </c>
      <c r="J971">
        <v>67.8</v>
      </c>
      <c r="K971" s="1">
        <v>78.3</v>
      </c>
      <c r="L971" t="s">
        <v>22</v>
      </c>
    </row>
    <row r="972" spans="1:12" x14ac:dyDescent="0.35">
      <c r="A972">
        <v>971</v>
      </c>
      <c r="B972" t="s">
        <v>17</v>
      </c>
      <c r="C972" s="1">
        <v>2.7</v>
      </c>
      <c r="D972">
        <v>81.3</v>
      </c>
      <c r="E972" s="1">
        <v>6.9</v>
      </c>
      <c r="F972" t="s">
        <v>18</v>
      </c>
      <c r="G972" s="2" t="s">
        <v>14</v>
      </c>
      <c r="H972" s="2" t="s">
        <v>14</v>
      </c>
      <c r="I972" t="s">
        <v>14</v>
      </c>
      <c r="J972">
        <v>90.7</v>
      </c>
      <c r="K972" s="1">
        <v>100</v>
      </c>
      <c r="L972" t="s">
        <v>16</v>
      </c>
    </row>
    <row r="973" spans="1:12" x14ac:dyDescent="0.35">
      <c r="A973">
        <v>972</v>
      </c>
      <c r="B973" t="s">
        <v>12</v>
      </c>
      <c r="C973" s="1">
        <v>4.0999999999999996</v>
      </c>
      <c r="D973">
        <v>86.4</v>
      </c>
      <c r="E973" s="1">
        <v>4.2</v>
      </c>
      <c r="F973" t="s">
        <v>23</v>
      </c>
      <c r="G973" s="2" t="s">
        <v>15</v>
      </c>
      <c r="H973" s="2" t="s">
        <v>14</v>
      </c>
      <c r="I973" t="s">
        <v>14</v>
      </c>
      <c r="J973">
        <v>71.5</v>
      </c>
      <c r="K973" s="1">
        <v>75.599999999999994</v>
      </c>
      <c r="L973" t="s">
        <v>22</v>
      </c>
    </row>
    <row r="974" spans="1:12" x14ac:dyDescent="0.35">
      <c r="A974">
        <v>973</v>
      </c>
      <c r="B974" t="s">
        <v>12</v>
      </c>
      <c r="C974" s="1">
        <v>1.3</v>
      </c>
      <c r="D974">
        <v>67.2</v>
      </c>
      <c r="E974" s="1">
        <v>7.3</v>
      </c>
      <c r="F974" t="s">
        <v>13</v>
      </c>
      <c r="G974" s="2" t="s">
        <v>14</v>
      </c>
      <c r="H974" s="2" t="s">
        <v>15</v>
      </c>
      <c r="I974" t="s">
        <v>15</v>
      </c>
      <c r="J974">
        <v>79</v>
      </c>
      <c r="K974" s="1">
        <v>84.1</v>
      </c>
      <c r="L974" t="s">
        <v>20</v>
      </c>
    </row>
    <row r="975" spans="1:12" x14ac:dyDescent="0.35">
      <c r="A975">
        <v>974</v>
      </c>
      <c r="B975" t="s">
        <v>12</v>
      </c>
      <c r="C975" s="1">
        <v>3.8</v>
      </c>
      <c r="D975">
        <v>89.1</v>
      </c>
      <c r="E975" s="1">
        <v>5.6</v>
      </c>
      <c r="F975" t="s">
        <v>18</v>
      </c>
      <c r="G975" s="2" t="s">
        <v>15</v>
      </c>
      <c r="H975" s="2" t="s">
        <v>14</v>
      </c>
      <c r="I975" t="s">
        <v>14</v>
      </c>
      <c r="J975">
        <v>71.2</v>
      </c>
      <c r="K975" s="1">
        <v>77.900000000000006</v>
      </c>
      <c r="L975" t="s">
        <v>22</v>
      </c>
    </row>
    <row r="976" spans="1:12" x14ac:dyDescent="0.35">
      <c r="A976">
        <v>975</v>
      </c>
      <c r="B976" t="s">
        <v>17</v>
      </c>
      <c r="C976" s="1">
        <v>3.5</v>
      </c>
      <c r="D976">
        <v>74.7</v>
      </c>
      <c r="E976" s="1">
        <v>5.4</v>
      </c>
      <c r="F976" t="s">
        <v>19</v>
      </c>
      <c r="G976" s="2" t="s">
        <v>14</v>
      </c>
      <c r="H976" s="2" t="s">
        <v>15</v>
      </c>
      <c r="I976" t="s">
        <v>15</v>
      </c>
      <c r="J976">
        <v>62</v>
      </c>
      <c r="K976" s="1">
        <v>67.900000000000006</v>
      </c>
      <c r="L976" t="s">
        <v>21</v>
      </c>
    </row>
    <row r="977" spans="1:12" x14ac:dyDescent="0.35">
      <c r="A977">
        <v>976</v>
      </c>
      <c r="B977" t="s">
        <v>17</v>
      </c>
      <c r="C977" s="1">
        <v>4.4000000000000004</v>
      </c>
      <c r="D977">
        <v>71.5</v>
      </c>
      <c r="E977" s="1">
        <v>4.8</v>
      </c>
      <c r="F977" t="s">
        <v>13</v>
      </c>
      <c r="G977" s="2" t="s">
        <v>14</v>
      </c>
      <c r="H977" s="2" t="s">
        <v>14</v>
      </c>
      <c r="I977" t="s">
        <v>14</v>
      </c>
      <c r="J977">
        <v>43.1</v>
      </c>
      <c r="K977" s="1">
        <v>67</v>
      </c>
      <c r="L977" t="s">
        <v>21</v>
      </c>
    </row>
    <row r="978" spans="1:12" x14ac:dyDescent="0.35">
      <c r="A978">
        <v>977</v>
      </c>
      <c r="B978" t="s">
        <v>17</v>
      </c>
      <c r="C978" s="1">
        <v>3.7</v>
      </c>
      <c r="D978">
        <v>69.8</v>
      </c>
      <c r="E978" s="1">
        <v>4.5999999999999996</v>
      </c>
      <c r="F978" t="s">
        <v>18</v>
      </c>
      <c r="G978" s="2" t="s">
        <v>15</v>
      </c>
      <c r="H978" s="2" t="s">
        <v>14</v>
      </c>
      <c r="I978" t="s">
        <v>15</v>
      </c>
      <c r="J978">
        <v>72.5</v>
      </c>
      <c r="K978" s="1">
        <v>80.900000000000006</v>
      </c>
      <c r="L978" t="s">
        <v>20</v>
      </c>
    </row>
    <row r="979" spans="1:12" x14ac:dyDescent="0.35">
      <c r="A979">
        <v>978</v>
      </c>
      <c r="B979" t="s">
        <v>17</v>
      </c>
      <c r="C979" s="1">
        <v>2</v>
      </c>
      <c r="D979">
        <v>96.1</v>
      </c>
      <c r="E979" s="1">
        <v>5.2</v>
      </c>
      <c r="F979" t="s">
        <v>13</v>
      </c>
      <c r="G979" s="2" t="s">
        <v>14</v>
      </c>
      <c r="H979" s="2" t="s">
        <v>14</v>
      </c>
      <c r="I979" t="s">
        <v>15</v>
      </c>
      <c r="J979">
        <v>60.7</v>
      </c>
      <c r="K979" s="1">
        <v>72.099999999999994</v>
      </c>
      <c r="L979" t="s">
        <v>22</v>
      </c>
    </row>
    <row r="980" spans="1:12" x14ac:dyDescent="0.35">
      <c r="A980">
        <v>979</v>
      </c>
      <c r="B980" t="s">
        <v>17</v>
      </c>
      <c r="C980" s="1">
        <v>5.3</v>
      </c>
      <c r="D980">
        <v>78.7</v>
      </c>
      <c r="E980" s="1">
        <v>5.9</v>
      </c>
      <c r="F980" t="s">
        <v>24</v>
      </c>
      <c r="G980" s="2" t="s">
        <v>14</v>
      </c>
      <c r="H980" s="2" t="s">
        <v>14</v>
      </c>
      <c r="I980" t="s">
        <v>15</v>
      </c>
      <c r="J980">
        <v>60.4</v>
      </c>
      <c r="K980" s="1">
        <v>83</v>
      </c>
      <c r="L980" t="s">
        <v>20</v>
      </c>
    </row>
    <row r="981" spans="1:12" x14ac:dyDescent="0.35">
      <c r="A981">
        <v>980</v>
      </c>
      <c r="B981" t="s">
        <v>17</v>
      </c>
      <c r="C981" s="1">
        <v>3.3</v>
      </c>
      <c r="D981">
        <v>100</v>
      </c>
      <c r="E981" s="1">
        <v>9.1</v>
      </c>
      <c r="F981" t="s">
        <v>18</v>
      </c>
      <c r="G981" s="2" t="s">
        <v>14</v>
      </c>
      <c r="H981" s="2" t="s">
        <v>14</v>
      </c>
      <c r="I981" t="s">
        <v>15</v>
      </c>
      <c r="J981">
        <v>64</v>
      </c>
      <c r="K981" s="1">
        <v>93.9</v>
      </c>
      <c r="L981" t="s">
        <v>16</v>
      </c>
    </row>
    <row r="982" spans="1:12" x14ac:dyDescent="0.35">
      <c r="A982">
        <v>981</v>
      </c>
      <c r="B982" t="s">
        <v>17</v>
      </c>
      <c r="C982" s="1">
        <v>3.5</v>
      </c>
      <c r="D982">
        <v>79.599999999999994</v>
      </c>
      <c r="E982" s="1">
        <v>6.2</v>
      </c>
      <c r="F982" t="s">
        <v>18</v>
      </c>
      <c r="G982" s="2" t="s">
        <v>14</v>
      </c>
      <c r="H982" s="2" t="s">
        <v>14</v>
      </c>
      <c r="I982" t="s">
        <v>15</v>
      </c>
      <c r="J982">
        <v>90.9</v>
      </c>
      <c r="K982" s="1">
        <v>91.4</v>
      </c>
      <c r="L982" t="s">
        <v>16</v>
      </c>
    </row>
    <row r="983" spans="1:12" x14ac:dyDescent="0.35">
      <c r="A983">
        <v>982</v>
      </c>
      <c r="B983" t="s">
        <v>17</v>
      </c>
      <c r="C983" s="1">
        <v>2.1</v>
      </c>
      <c r="D983">
        <v>67.900000000000006</v>
      </c>
      <c r="E983" s="1">
        <v>7</v>
      </c>
      <c r="F983" t="s">
        <v>18</v>
      </c>
      <c r="G983" s="2" t="s">
        <v>15</v>
      </c>
      <c r="H983" s="2" t="s">
        <v>15</v>
      </c>
      <c r="I983" t="s">
        <v>14</v>
      </c>
      <c r="J983">
        <v>98.9</v>
      </c>
      <c r="K983" s="1">
        <v>79.7</v>
      </c>
      <c r="L983" t="s">
        <v>22</v>
      </c>
    </row>
    <row r="984" spans="1:12" x14ac:dyDescent="0.35">
      <c r="A984">
        <v>983</v>
      </c>
      <c r="B984" t="s">
        <v>17</v>
      </c>
      <c r="C984" s="1">
        <v>2.8</v>
      </c>
      <c r="D984">
        <v>73.8</v>
      </c>
      <c r="E984" s="1">
        <v>7.3</v>
      </c>
      <c r="F984" t="s">
        <v>18</v>
      </c>
      <c r="G984" s="2" t="s">
        <v>14</v>
      </c>
      <c r="H984" s="2" t="s">
        <v>15</v>
      </c>
      <c r="I984" t="s">
        <v>14</v>
      </c>
      <c r="J984">
        <v>72.599999999999994</v>
      </c>
      <c r="K984" s="1">
        <v>77.7</v>
      </c>
      <c r="L984" t="s">
        <v>22</v>
      </c>
    </row>
    <row r="985" spans="1:12" x14ac:dyDescent="0.35">
      <c r="A985">
        <v>984</v>
      </c>
      <c r="B985" t="s">
        <v>12</v>
      </c>
      <c r="C985" s="1">
        <v>2.2000000000000002</v>
      </c>
      <c r="D985">
        <v>97.4</v>
      </c>
      <c r="E985" s="1">
        <v>7</v>
      </c>
      <c r="F985" t="s">
        <v>23</v>
      </c>
      <c r="G985" s="2" t="s">
        <v>14</v>
      </c>
      <c r="H985" s="2" t="s">
        <v>14</v>
      </c>
      <c r="I985" t="s">
        <v>15</v>
      </c>
      <c r="J985">
        <v>64.400000000000006</v>
      </c>
      <c r="K985" s="1">
        <v>85</v>
      </c>
      <c r="L985" t="s">
        <v>20</v>
      </c>
    </row>
    <row r="986" spans="1:12" x14ac:dyDescent="0.35">
      <c r="A986">
        <v>985</v>
      </c>
      <c r="B986" t="s">
        <v>17</v>
      </c>
      <c r="C986" s="1">
        <v>3.2</v>
      </c>
      <c r="D986">
        <v>83.4</v>
      </c>
      <c r="E986" s="1">
        <v>6.7</v>
      </c>
      <c r="F986" t="s">
        <v>13</v>
      </c>
      <c r="G986" s="2" t="s">
        <v>14</v>
      </c>
      <c r="H986" s="2" t="s">
        <v>14</v>
      </c>
      <c r="I986" t="s">
        <v>15</v>
      </c>
      <c r="J986">
        <v>55.9</v>
      </c>
      <c r="K986" s="1">
        <v>75.400000000000006</v>
      </c>
      <c r="L986" t="s">
        <v>22</v>
      </c>
    </row>
    <row r="987" spans="1:12" x14ac:dyDescent="0.35">
      <c r="A987">
        <v>986</v>
      </c>
      <c r="B987" t="s">
        <v>17</v>
      </c>
      <c r="C987" s="1">
        <v>6.1</v>
      </c>
      <c r="D987">
        <v>79.5</v>
      </c>
      <c r="E987" s="1">
        <v>5.4</v>
      </c>
      <c r="F987" t="s">
        <v>18</v>
      </c>
      <c r="G987" s="2" t="s">
        <v>14</v>
      </c>
      <c r="H987" s="2" t="s">
        <v>15</v>
      </c>
      <c r="I987" t="s">
        <v>15</v>
      </c>
      <c r="J987">
        <v>75.599999999999994</v>
      </c>
      <c r="K987" s="1">
        <v>96.4</v>
      </c>
      <c r="L987" t="s">
        <v>16</v>
      </c>
    </row>
    <row r="988" spans="1:12" x14ac:dyDescent="0.35">
      <c r="A988">
        <v>987</v>
      </c>
      <c r="B988" t="s">
        <v>17</v>
      </c>
      <c r="C988" s="1">
        <v>1.4</v>
      </c>
      <c r="D988">
        <v>86.6</v>
      </c>
      <c r="E988" s="1">
        <v>8.5</v>
      </c>
      <c r="F988" t="s">
        <v>18</v>
      </c>
      <c r="G988" s="2" t="s">
        <v>14</v>
      </c>
      <c r="H988" s="2" t="s">
        <v>14</v>
      </c>
      <c r="I988" t="s">
        <v>15</v>
      </c>
      <c r="J988">
        <v>91.4</v>
      </c>
      <c r="K988" s="1">
        <v>81.8</v>
      </c>
      <c r="L988" t="s">
        <v>20</v>
      </c>
    </row>
    <row r="989" spans="1:12" x14ac:dyDescent="0.35">
      <c r="A989">
        <v>988</v>
      </c>
      <c r="B989" t="s">
        <v>17</v>
      </c>
      <c r="C989" s="1">
        <v>1.1000000000000001</v>
      </c>
      <c r="D989">
        <v>90</v>
      </c>
      <c r="E989" s="1">
        <v>9</v>
      </c>
      <c r="F989" t="s">
        <v>18</v>
      </c>
      <c r="G989" s="2" t="s">
        <v>14</v>
      </c>
      <c r="H989" s="2" t="s">
        <v>14</v>
      </c>
      <c r="I989" t="s">
        <v>15</v>
      </c>
      <c r="J989">
        <v>67</v>
      </c>
      <c r="K989" s="1">
        <v>85.8</v>
      </c>
      <c r="L989" t="s">
        <v>20</v>
      </c>
    </row>
    <row r="990" spans="1:12" x14ac:dyDescent="0.35">
      <c r="A990">
        <v>989</v>
      </c>
      <c r="B990" t="s">
        <v>17</v>
      </c>
      <c r="C990" s="1">
        <v>5.7</v>
      </c>
      <c r="D990">
        <v>96.2</v>
      </c>
      <c r="E990" s="1">
        <v>4.8</v>
      </c>
      <c r="F990" t="s">
        <v>19</v>
      </c>
      <c r="G990" s="2" t="s">
        <v>14</v>
      </c>
      <c r="H990" s="2" t="s">
        <v>15</v>
      </c>
      <c r="I990" t="s">
        <v>15</v>
      </c>
      <c r="J990">
        <v>41.5</v>
      </c>
      <c r="K990" s="1">
        <v>80.900000000000006</v>
      </c>
      <c r="L990" t="s">
        <v>20</v>
      </c>
    </row>
    <row r="991" spans="1:12" x14ac:dyDescent="0.35">
      <c r="A991">
        <v>990</v>
      </c>
      <c r="B991" t="s">
        <v>17</v>
      </c>
      <c r="C991" s="1">
        <v>3.2</v>
      </c>
      <c r="D991">
        <v>99.5</v>
      </c>
      <c r="E991" s="1">
        <v>5.6</v>
      </c>
      <c r="F991" t="s">
        <v>18</v>
      </c>
      <c r="G991" s="2" t="s">
        <v>14</v>
      </c>
      <c r="H991" s="2" t="s">
        <v>15</v>
      </c>
      <c r="I991" t="s">
        <v>14</v>
      </c>
      <c r="J991">
        <v>78</v>
      </c>
      <c r="K991" s="1">
        <v>93.9</v>
      </c>
      <c r="L991" t="s">
        <v>16</v>
      </c>
    </row>
    <row r="992" spans="1:12" x14ac:dyDescent="0.35">
      <c r="A992">
        <v>991</v>
      </c>
      <c r="B992" t="s">
        <v>17</v>
      </c>
      <c r="C992" s="1">
        <v>2.5</v>
      </c>
      <c r="D992">
        <v>81.400000000000006</v>
      </c>
      <c r="E992" s="1">
        <v>6.5</v>
      </c>
      <c r="F992" t="s">
        <v>19</v>
      </c>
      <c r="G992" s="2" t="s">
        <v>14</v>
      </c>
      <c r="H992" s="2" t="s">
        <v>15</v>
      </c>
      <c r="I992" t="s">
        <v>15</v>
      </c>
      <c r="J992">
        <v>81.8</v>
      </c>
      <c r="K992" s="1">
        <v>81.900000000000006</v>
      </c>
      <c r="L992" t="s">
        <v>20</v>
      </c>
    </row>
    <row r="993" spans="1:12" x14ac:dyDescent="0.35">
      <c r="A993">
        <v>992</v>
      </c>
      <c r="B993" t="s">
        <v>17</v>
      </c>
      <c r="C993" s="1">
        <v>5.0999999999999996</v>
      </c>
      <c r="D993">
        <v>71.7</v>
      </c>
      <c r="E993" s="1">
        <v>5.6</v>
      </c>
      <c r="F993" t="s">
        <v>13</v>
      </c>
      <c r="G993" s="2" t="s">
        <v>14</v>
      </c>
      <c r="H993" s="2" t="s">
        <v>14</v>
      </c>
      <c r="I993" t="s">
        <v>15</v>
      </c>
      <c r="J993">
        <v>51</v>
      </c>
      <c r="K993" s="1">
        <v>80.400000000000006</v>
      </c>
      <c r="L993" t="s">
        <v>20</v>
      </c>
    </row>
    <row r="994" spans="1:12" x14ac:dyDescent="0.35">
      <c r="A994">
        <v>993</v>
      </c>
      <c r="B994" t="s">
        <v>17</v>
      </c>
      <c r="C994" s="1">
        <v>2.6</v>
      </c>
      <c r="D994">
        <v>80.900000000000006</v>
      </c>
      <c r="E994" s="1">
        <v>7.4</v>
      </c>
      <c r="F994" t="s">
        <v>18</v>
      </c>
      <c r="G994" s="2" t="s">
        <v>14</v>
      </c>
      <c r="H994" s="2" t="s">
        <v>14</v>
      </c>
      <c r="I994" t="s">
        <v>15</v>
      </c>
      <c r="J994">
        <v>72.099999999999994</v>
      </c>
      <c r="K994" s="1">
        <v>78.8</v>
      </c>
      <c r="L994" t="s">
        <v>22</v>
      </c>
    </row>
    <row r="995" spans="1:12" x14ac:dyDescent="0.35">
      <c r="A995">
        <v>994</v>
      </c>
      <c r="B995" t="s">
        <v>17</v>
      </c>
      <c r="C995" s="1">
        <v>6.2</v>
      </c>
      <c r="D995">
        <v>87.6</v>
      </c>
      <c r="E995" s="1">
        <v>5.9</v>
      </c>
      <c r="F995" t="s">
        <v>24</v>
      </c>
      <c r="G995" s="2" t="s">
        <v>14</v>
      </c>
      <c r="H995" s="2" t="s">
        <v>15</v>
      </c>
      <c r="I995" t="s">
        <v>15</v>
      </c>
      <c r="J995">
        <v>75.400000000000006</v>
      </c>
      <c r="K995" s="1">
        <v>92.7</v>
      </c>
      <c r="L995" t="s">
        <v>16</v>
      </c>
    </row>
    <row r="996" spans="1:12" x14ac:dyDescent="0.35">
      <c r="A996">
        <v>995</v>
      </c>
      <c r="B996" t="s">
        <v>17</v>
      </c>
      <c r="C996" s="1">
        <v>4.5</v>
      </c>
      <c r="D996">
        <v>75.400000000000006</v>
      </c>
      <c r="E996" s="1">
        <v>9.4</v>
      </c>
      <c r="F996" t="s">
        <v>13</v>
      </c>
      <c r="G996" s="2" t="s">
        <v>14</v>
      </c>
      <c r="H996" s="2" t="s">
        <v>14</v>
      </c>
      <c r="I996" t="s">
        <v>15</v>
      </c>
      <c r="J996">
        <v>69.099999999999994</v>
      </c>
      <c r="K996" s="1">
        <v>79.099999999999994</v>
      </c>
      <c r="L996" t="s">
        <v>22</v>
      </c>
    </row>
    <row r="997" spans="1:12" x14ac:dyDescent="0.35">
      <c r="A997">
        <v>996</v>
      </c>
      <c r="B997" t="s">
        <v>12</v>
      </c>
      <c r="C997" s="1">
        <v>2.8</v>
      </c>
      <c r="D997">
        <v>75.400000000000006</v>
      </c>
      <c r="E997" s="1">
        <v>8.1999999999999993</v>
      </c>
      <c r="F997" t="s">
        <v>23</v>
      </c>
      <c r="G997" s="2" t="s">
        <v>14</v>
      </c>
      <c r="H997" s="2" t="s">
        <v>14</v>
      </c>
      <c r="I997" t="s">
        <v>15</v>
      </c>
      <c r="J997">
        <v>60.5</v>
      </c>
      <c r="K997" s="1">
        <v>70.7</v>
      </c>
      <c r="L997" t="s">
        <v>22</v>
      </c>
    </row>
    <row r="998" spans="1:12" x14ac:dyDescent="0.35">
      <c r="A998">
        <v>997</v>
      </c>
      <c r="B998" t="s">
        <v>12</v>
      </c>
      <c r="C998" s="1">
        <v>6.7</v>
      </c>
      <c r="D998">
        <v>88.4</v>
      </c>
      <c r="E998" s="1">
        <v>7.1</v>
      </c>
      <c r="F998" t="s">
        <v>19</v>
      </c>
      <c r="G998" s="2" t="s">
        <v>15</v>
      </c>
      <c r="H998" s="2" t="s">
        <v>14</v>
      </c>
      <c r="I998" t="s">
        <v>15</v>
      </c>
      <c r="J998">
        <v>82.2</v>
      </c>
      <c r="K998" s="1">
        <v>99.5</v>
      </c>
      <c r="L998" t="s">
        <v>16</v>
      </c>
    </row>
    <row r="999" spans="1:12" x14ac:dyDescent="0.35">
      <c r="A999">
        <v>998</v>
      </c>
      <c r="B999" t="s">
        <v>17</v>
      </c>
      <c r="C999" s="1">
        <v>2.6</v>
      </c>
      <c r="D999">
        <v>84.5</v>
      </c>
      <c r="E999" s="1">
        <v>8</v>
      </c>
      <c r="F999" t="s">
        <v>18</v>
      </c>
      <c r="G999" s="2" t="s">
        <v>14</v>
      </c>
      <c r="H999" s="2" t="s">
        <v>14</v>
      </c>
      <c r="I999" t="s">
        <v>14</v>
      </c>
      <c r="J999">
        <v>65.2</v>
      </c>
      <c r="K999" s="1">
        <v>79.2</v>
      </c>
      <c r="L999" t="s">
        <v>22</v>
      </c>
    </row>
    <row r="1000" spans="1:12" x14ac:dyDescent="0.35">
      <c r="A1000">
        <v>999</v>
      </c>
      <c r="B1000" t="s">
        <v>17</v>
      </c>
      <c r="C1000" s="1">
        <v>4.5999999999999996</v>
      </c>
      <c r="D1000">
        <v>85.3</v>
      </c>
      <c r="E1000" s="1">
        <v>8.1</v>
      </c>
      <c r="F1000" t="s">
        <v>18</v>
      </c>
      <c r="G1000" s="2" t="s">
        <v>15</v>
      </c>
      <c r="H1000" s="2" t="s">
        <v>15</v>
      </c>
      <c r="I1000" t="s">
        <v>14</v>
      </c>
      <c r="J1000">
        <v>52.2</v>
      </c>
      <c r="K1000" s="1">
        <v>82.2</v>
      </c>
      <c r="L1000" t="s">
        <v>20</v>
      </c>
    </row>
    <row r="1001" spans="1:12" x14ac:dyDescent="0.35">
      <c r="A1001">
        <v>1000</v>
      </c>
      <c r="B1001" t="s">
        <v>12</v>
      </c>
      <c r="C1001" s="1">
        <v>3.9</v>
      </c>
      <c r="D1001">
        <v>77.400000000000006</v>
      </c>
      <c r="E1001" s="1">
        <v>6.1</v>
      </c>
      <c r="F1001" t="s">
        <v>23</v>
      </c>
      <c r="G1001" s="2" t="s">
        <v>14</v>
      </c>
      <c r="H1001" s="2" t="s">
        <v>15</v>
      </c>
      <c r="I1001" t="s">
        <v>15</v>
      </c>
      <c r="J1001">
        <v>45.4</v>
      </c>
      <c r="K1001" s="1">
        <v>70.400000000000006</v>
      </c>
      <c r="L100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CBD5-915E-445A-8C06-7BE5AFAED191}">
  <dimension ref="A1:R1001"/>
  <sheetViews>
    <sheetView zoomScaleNormal="100" workbookViewId="0">
      <selection activeCell="H6" sqref="H6:R7"/>
    </sheetView>
  </sheetViews>
  <sheetFormatPr defaultRowHeight="14.5" x14ac:dyDescent="0.35"/>
  <cols>
    <col min="1" max="1" width="11.7265625" style="19" customWidth="1"/>
    <col min="2" max="2" width="12.54296875" style="2" customWidth="1"/>
    <col min="3" max="3" width="12.26953125" style="2" customWidth="1"/>
    <col min="5" max="5" width="13.26953125" style="4" customWidth="1"/>
  </cols>
  <sheetData>
    <row r="1" spans="1:18" x14ac:dyDescent="0.35">
      <c r="A1" s="10" t="s">
        <v>9</v>
      </c>
      <c r="B1" s="11" t="s">
        <v>41</v>
      </c>
      <c r="C1" s="11" t="s">
        <v>10</v>
      </c>
      <c r="E1" s="12" t="s">
        <v>42</v>
      </c>
    </row>
    <row r="2" spans="1:18" x14ac:dyDescent="0.35">
      <c r="A2" s="13">
        <v>76.900000000000006</v>
      </c>
      <c r="B2" s="14" t="s">
        <v>16</v>
      </c>
      <c r="C2" s="15">
        <v>100</v>
      </c>
      <c r="E2" s="4">
        <f>(A2+C2)/2</f>
        <v>88.45</v>
      </c>
    </row>
    <row r="3" spans="1:18" x14ac:dyDescent="0.35">
      <c r="A3" s="16">
        <v>75.5</v>
      </c>
      <c r="B3" s="17" t="s">
        <v>16</v>
      </c>
      <c r="C3" s="18">
        <v>100</v>
      </c>
      <c r="E3" s="4">
        <f t="shared" ref="E3:E66" si="0">(A3+C3)/2</f>
        <v>87.75</v>
      </c>
    </row>
    <row r="4" spans="1:18" x14ac:dyDescent="0.35">
      <c r="A4" s="13">
        <v>88.5</v>
      </c>
      <c r="B4" s="14" t="s">
        <v>16</v>
      </c>
      <c r="C4" s="15">
        <v>97.3</v>
      </c>
      <c r="E4" s="4">
        <f t="shared" si="0"/>
        <v>92.9</v>
      </c>
    </row>
    <row r="5" spans="1:18" x14ac:dyDescent="0.35">
      <c r="A5" s="16">
        <v>85.1</v>
      </c>
      <c r="B5" s="17" t="s">
        <v>20</v>
      </c>
      <c r="C5" s="18">
        <v>83.8</v>
      </c>
      <c r="E5" s="4">
        <f t="shared" si="0"/>
        <v>84.449999999999989</v>
      </c>
    </row>
    <row r="6" spans="1:18" x14ac:dyDescent="0.35">
      <c r="A6" s="13">
        <v>61.8</v>
      </c>
      <c r="B6" s="14" t="s">
        <v>21</v>
      </c>
      <c r="C6" s="15">
        <v>68.3</v>
      </c>
      <c r="E6" s="4">
        <f t="shared" si="0"/>
        <v>65.05</v>
      </c>
      <c r="H6" s="4" t="s">
        <v>43</v>
      </c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5">
      <c r="A7" s="16">
        <v>79.8</v>
      </c>
      <c r="B7" s="17" t="s">
        <v>20</v>
      </c>
      <c r="C7" s="18">
        <v>81.599999999999994</v>
      </c>
      <c r="E7" s="4">
        <f t="shared" si="0"/>
        <v>80.699999999999989</v>
      </c>
      <c r="H7" s="4" t="s">
        <v>44</v>
      </c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35">
      <c r="A8" s="13">
        <v>58.6</v>
      </c>
      <c r="B8" s="14" t="s">
        <v>21</v>
      </c>
      <c r="C8" s="15">
        <v>69.599999999999994</v>
      </c>
      <c r="E8" s="4">
        <f t="shared" si="0"/>
        <v>64.099999999999994</v>
      </c>
    </row>
    <row r="9" spans="1:18" x14ac:dyDescent="0.35">
      <c r="A9" s="16">
        <v>78.400000000000006</v>
      </c>
      <c r="B9" s="17" t="s">
        <v>20</v>
      </c>
      <c r="C9" s="18">
        <v>88</v>
      </c>
      <c r="E9" s="4">
        <f t="shared" si="0"/>
        <v>83.2</v>
      </c>
    </row>
    <row r="10" spans="1:18" x14ac:dyDescent="0.35">
      <c r="A10" s="13">
        <v>63.8</v>
      </c>
      <c r="B10" s="14" t="s">
        <v>20</v>
      </c>
      <c r="C10" s="15">
        <v>84.4</v>
      </c>
      <c r="E10" s="4">
        <f t="shared" si="0"/>
        <v>74.099999999999994</v>
      </c>
    </row>
    <row r="11" spans="1:18" x14ac:dyDescent="0.35">
      <c r="A11" s="16">
        <v>57.7</v>
      </c>
      <c r="B11" s="17" t="s">
        <v>22</v>
      </c>
      <c r="C11" s="18">
        <v>74.3</v>
      </c>
      <c r="E11" s="4">
        <f t="shared" si="0"/>
        <v>66</v>
      </c>
    </row>
    <row r="12" spans="1:18" x14ac:dyDescent="0.35">
      <c r="A12" s="13">
        <v>73.400000000000006</v>
      </c>
      <c r="B12" s="14" t="s">
        <v>21</v>
      </c>
      <c r="C12" s="15">
        <v>68.900000000000006</v>
      </c>
      <c r="E12" s="4">
        <f t="shared" si="0"/>
        <v>71.150000000000006</v>
      </c>
    </row>
    <row r="13" spans="1:18" x14ac:dyDescent="0.35">
      <c r="A13" s="16">
        <v>37.9</v>
      </c>
      <c r="B13" s="17" t="s">
        <v>22</v>
      </c>
      <c r="C13" s="18">
        <v>76.7</v>
      </c>
      <c r="E13" s="4">
        <f t="shared" si="0"/>
        <v>57.3</v>
      </c>
    </row>
    <row r="14" spans="1:18" x14ac:dyDescent="0.35">
      <c r="A14" s="13">
        <v>49</v>
      </c>
      <c r="B14" s="14" t="s">
        <v>20</v>
      </c>
      <c r="C14" s="15">
        <v>82.6</v>
      </c>
      <c r="E14" s="4">
        <f t="shared" si="0"/>
        <v>65.8</v>
      </c>
    </row>
    <row r="15" spans="1:18" x14ac:dyDescent="0.35">
      <c r="A15" s="16">
        <v>67.900000000000006</v>
      </c>
      <c r="B15" s="17" t="s">
        <v>16</v>
      </c>
      <c r="C15" s="18">
        <v>93.3</v>
      </c>
      <c r="E15" s="4">
        <f t="shared" si="0"/>
        <v>80.599999999999994</v>
      </c>
    </row>
    <row r="16" spans="1:18" x14ac:dyDescent="0.35">
      <c r="A16" s="13">
        <v>71</v>
      </c>
      <c r="B16" s="14" t="s">
        <v>22</v>
      </c>
      <c r="C16" s="15">
        <v>73.900000000000006</v>
      </c>
      <c r="E16" s="4">
        <f t="shared" si="0"/>
        <v>72.45</v>
      </c>
    </row>
    <row r="17" spans="1:5" x14ac:dyDescent="0.35">
      <c r="A17" s="16">
        <v>65.599999999999994</v>
      </c>
      <c r="B17" s="17" t="s">
        <v>20</v>
      </c>
      <c r="C17" s="18">
        <v>84.8</v>
      </c>
      <c r="E17" s="4">
        <f t="shared" si="0"/>
        <v>75.199999999999989</v>
      </c>
    </row>
    <row r="18" spans="1:5" x14ac:dyDescent="0.35">
      <c r="A18" s="13">
        <v>51</v>
      </c>
      <c r="B18" s="14" t="s">
        <v>20</v>
      </c>
      <c r="C18" s="15">
        <v>81.5</v>
      </c>
      <c r="E18" s="4">
        <f t="shared" si="0"/>
        <v>66.25</v>
      </c>
    </row>
    <row r="19" spans="1:5" x14ac:dyDescent="0.35">
      <c r="A19" s="16">
        <v>60.2</v>
      </c>
      <c r="B19" s="17" t="s">
        <v>22</v>
      </c>
      <c r="C19" s="18">
        <v>75.5</v>
      </c>
      <c r="E19" s="4">
        <f t="shared" si="0"/>
        <v>67.849999999999994</v>
      </c>
    </row>
    <row r="20" spans="1:5" x14ac:dyDescent="0.35">
      <c r="A20" s="13">
        <v>74.7</v>
      </c>
      <c r="B20" s="14" t="s">
        <v>20</v>
      </c>
      <c r="C20" s="15">
        <v>89.7</v>
      </c>
      <c r="E20" s="4">
        <f t="shared" si="0"/>
        <v>82.2</v>
      </c>
    </row>
    <row r="21" spans="1:5" x14ac:dyDescent="0.35">
      <c r="A21" s="16">
        <v>77</v>
      </c>
      <c r="B21" s="17" t="s">
        <v>16</v>
      </c>
      <c r="C21" s="18">
        <v>92.8</v>
      </c>
      <c r="E21" s="4">
        <f t="shared" si="0"/>
        <v>84.9</v>
      </c>
    </row>
    <row r="22" spans="1:5" x14ac:dyDescent="0.35">
      <c r="A22" s="13">
        <v>69.8</v>
      </c>
      <c r="B22" s="14" t="s">
        <v>22</v>
      </c>
      <c r="C22" s="15">
        <v>73.5</v>
      </c>
      <c r="E22" s="4">
        <f t="shared" si="0"/>
        <v>71.650000000000006</v>
      </c>
    </row>
    <row r="23" spans="1:5" x14ac:dyDescent="0.35">
      <c r="A23" s="16">
        <v>83.9</v>
      </c>
      <c r="B23" s="17" t="s">
        <v>16</v>
      </c>
      <c r="C23" s="18">
        <v>100</v>
      </c>
      <c r="E23" s="4">
        <f t="shared" si="0"/>
        <v>91.95</v>
      </c>
    </row>
    <row r="24" spans="1:5" x14ac:dyDescent="0.35">
      <c r="A24" s="13">
        <v>74.8</v>
      </c>
      <c r="B24" s="14" t="s">
        <v>22</v>
      </c>
      <c r="C24" s="15">
        <v>73.400000000000006</v>
      </c>
      <c r="E24" s="4">
        <f t="shared" si="0"/>
        <v>74.099999999999994</v>
      </c>
    </row>
    <row r="25" spans="1:5" x14ac:dyDescent="0.35">
      <c r="A25" s="16">
        <v>61</v>
      </c>
      <c r="B25" s="17" t="s">
        <v>22</v>
      </c>
      <c r="C25" s="18">
        <v>71.2</v>
      </c>
      <c r="E25" s="4">
        <f t="shared" si="0"/>
        <v>66.099999999999994</v>
      </c>
    </row>
    <row r="26" spans="1:5" x14ac:dyDescent="0.35">
      <c r="A26" s="13">
        <v>66.599999999999994</v>
      </c>
      <c r="B26" s="14" t="s">
        <v>16</v>
      </c>
      <c r="C26" s="15">
        <v>97.2</v>
      </c>
      <c r="E26" s="4">
        <f t="shared" si="0"/>
        <v>81.900000000000006</v>
      </c>
    </row>
    <row r="27" spans="1:5" x14ac:dyDescent="0.35">
      <c r="A27" s="16">
        <v>53.2</v>
      </c>
      <c r="B27" s="17" t="s">
        <v>22</v>
      </c>
      <c r="C27" s="18">
        <v>76</v>
      </c>
      <c r="E27" s="4">
        <f t="shared" si="0"/>
        <v>64.599999999999994</v>
      </c>
    </row>
    <row r="28" spans="1:5" x14ac:dyDescent="0.35">
      <c r="A28" s="13">
        <v>68.7</v>
      </c>
      <c r="B28" s="14" t="s">
        <v>22</v>
      </c>
      <c r="C28" s="15">
        <v>78.7</v>
      </c>
      <c r="E28" s="4">
        <f t="shared" si="0"/>
        <v>73.7</v>
      </c>
    </row>
    <row r="29" spans="1:5" x14ac:dyDescent="0.35">
      <c r="A29" s="16">
        <v>83.3</v>
      </c>
      <c r="B29" s="17" t="s">
        <v>16</v>
      </c>
      <c r="C29" s="18">
        <v>97.4</v>
      </c>
      <c r="E29" s="4">
        <f t="shared" si="0"/>
        <v>90.35</v>
      </c>
    </row>
    <row r="30" spans="1:5" x14ac:dyDescent="0.35">
      <c r="A30" s="13">
        <v>78.2</v>
      </c>
      <c r="B30" s="14" t="s">
        <v>20</v>
      </c>
      <c r="C30" s="15">
        <v>84.2</v>
      </c>
      <c r="E30" s="4">
        <f t="shared" si="0"/>
        <v>81.2</v>
      </c>
    </row>
    <row r="31" spans="1:5" x14ac:dyDescent="0.35">
      <c r="A31" s="16">
        <v>86.8</v>
      </c>
      <c r="B31" s="17" t="s">
        <v>20</v>
      </c>
      <c r="C31" s="18">
        <v>89.8</v>
      </c>
      <c r="E31" s="4">
        <f t="shared" si="0"/>
        <v>88.3</v>
      </c>
    </row>
    <row r="32" spans="1:5" x14ac:dyDescent="0.35">
      <c r="A32" s="13">
        <v>66.400000000000006</v>
      </c>
      <c r="B32" s="14" t="s">
        <v>20</v>
      </c>
      <c r="C32" s="15">
        <v>82.4</v>
      </c>
      <c r="E32" s="4">
        <f t="shared" si="0"/>
        <v>74.400000000000006</v>
      </c>
    </row>
    <row r="33" spans="1:5" x14ac:dyDescent="0.35">
      <c r="A33" s="16">
        <v>86.2</v>
      </c>
      <c r="B33" s="17" t="s">
        <v>20</v>
      </c>
      <c r="C33" s="18">
        <v>87.7</v>
      </c>
      <c r="E33" s="4">
        <f t="shared" si="0"/>
        <v>86.95</v>
      </c>
    </row>
    <row r="34" spans="1:5" x14ac:dyDescent="0.35">
      <c r="A34" s="13">
        <v>67.7</v>
      </c>
      <c r="B34" s="14" t="s">
        <v>16</v>
      </c>
      <c r="C34" s="15">
        <v>100</v>
      </c>
      <c r="E34" s="4">
        <f t="shared" si="0"/>
        <v>83.85</v>
      </c>
    </row>
    <row r="35" spans="1:5" x14ac:dyDescent="0.35">
      <c r="A35" s="16">
        <v>87.7</v>
      </c>
      <c r="B35" s="17" t="s">
        <v>16</v>
      </c>
      <c r="C35" s="18">
        <v>93.3</v>
      </c>
      <c r="E35" s="4">
        <f t="shared" si="0"/>
        <v>90.5</v>
      </c>
    </row>
    <row r="36" spans="1:5" x14ac:dyDescent="0.35">
      <c r="A36" s="13">
        <v>69.7</v>
      </c>
      <c r="B36" s="14" t="s">
        <v>16</v>
      </c>
      <c r="C36" s="15">
        <v>100</v>
      </c>
      <c r="E36" s="4">
        <f t="shared" si="0"/>
        <v>84.85</v>
      </c>
    </row>
    <row r="37" spans="1:5" x14ac:dyDescent="0.35">
      <c r="A37" s="16">
        <v>78.5</v>
      </c>
      <c r="B37" s="17" t="s">
        <v>16</v>
      </c>
      <c r="C37" s="18">
        <v>92.9</v>
      </c>
      <c r="E37" s="4">
        <f t="shared" si="0"/>
        <v>85.7</v>
      </c>
    </row>
    <row r="38" spans="1:5" x14ac:dyDescent="0.35">
      <c r="A38" s="13">
        <v>87.7</v>
      </c>
      <c r="B38" s="14" t="s">
        <v>20</v>
      </c>
      <c r="C38" s="15">
        <v>83.2</v>
      </c>
      <c r="E38" s="4">
        <f t="shared" si="0"/>
        <v>85.45</v>
      </c>
    </row>
    <row r="39" spans="1:5" x14ac:dyDescent="0.35">
      <c r="A39" s="16">
        <v>67.7</v>
      </c>
      <c r="B39" s="17" t="s">
        <v>20</v>
      </c>
      <c r="C39" s="18">
        <v>81.099999999999994</v>
      </c>
      <c r="E39" s="4">
        <f t="shared" si="0"/>
        <v>74.400000000000006</v>
      </c>
    </row>
    <row r="40" spans="1:5" x14ac:dyDescent="0.35">
      <c r="A40" s="13">
        <v>72.599999999999994</v>
      </c>
      <c r="B40" s="14" t="s">
        <v>20</v>
      </c>
      <c r="C40" s="15">
        <v>89.5</v>
      </c>
      <c r="E40" s="4">
        <f t="shared" si="0"/>
        <v>81.05</v>
      </c>
    </row>
    <row r="41" spans="1:5" x14ac:dyDescent="0.35">
      <c r="A41" s="16">
        <v>85.5</v>
      </c>
      <c r="B41" s="17" t="s">
        <v>16</v>
      </c>
      <c r="C41" s="18">
        <v>91.6</v>
      </c>
      <c r="E41" s="4">
        <f t="shared" si="0"/>
        <v>88.55</v>
      </c>
    </row>
    <row r="42" spans="1:5" x14ac:dyDescent="0.35">
      <c r="A42" s="13">
        <v>68.400000000000006</v>
      </c>
      <c r="B42" s="14" t="s">
        <v>22</v>
      </c>
      <c r="C42" s="15">
        <v>75.3</v>
      </c>
      <c r="E42" s="4">
        <f t="shared" si="0"/>
        <v>71.849999999999994</v>
      </c>
    </row>
    <row r="43" spans="1:5" x14ac:dyDescent="0.35">
      <c r="A43" s="16">
        <v>54.1</v>
      </c>
      <c r="B43" s="17" t="s">
        <v>22</v>
      </c>
      <c r="C43" s="18">
        <v>79</v>
      </c>
      <c r="E43" s="4">
        <f t="shared" si="0"/>
        <v>66.55</v>
      </c>
    </row>
    <row r="44" spans="1:5" x14ac:dyDescent="0.35">
      <c r="A44" s="13">
        <v>95.7</v>
      </c>
      <c r="B44" s="14" t="s">
        <v>16</v>
      </c>
      <c r="C44" s="15">
        <v>100</v>
      </c>
      <c r="E44" s="4">
        <f t="shared" si="0"/>
        <v>97.85</v>
      </c>
    </row>
    <row r="45" spans="1:5" x14ac:dyDescent="0.35">
      <c r="A45" s="16">
        <v>64.400000000000006</v>
      </c>
      <c r="B45" s="17" t="s">
        <v>22</v>
      </c>
      <c r="C45" s="18">
        <v>79.2</v>
      </c>
      <c r="E45" s="4">
        <f t="shared" si="0"/>
        <v>71.800000000000011</v>
      </c>
    </row>
    <row r="46" spans="1:5" x14ac:dyDescent="0.35">
      <c r="A46" s="13">
        <v>71.900000000000006</v>
      </c>
      <c r="B46" s="14" t="s">
        <v>22</v>
      </c>
      <c r="C46" s="15">
        <v>70.8</v>
      </c>
      <c r="E46" s="4">
        <f t="shared" si="0"/>
        <v>71.349999999999994</v>
      </c>
    </row>
    <row r="47" spans="1:5" x14ac:dyDescent="0.35">
      <c r="A47" s="16">
        <v>83.9</v>
      </c>
      <c r="B47" s="17" t="s">
        <v>21</v>
      </c>
      <c r="C47" s="18">
        <v>61.8</v>
      </c>
      <c r="E47" s="4">
        <f t="shared" si="0"/>
        <v>72.849999999999994</v>
      </c>
    </row>
    <row r="48" spans="1:5" x14ac:dyDescent="0.35">
      <c r="A48" s="13">
        <v>62.7</v>
      </c>
      <c r="B48" s="14" t="s">
        <v>21</v>
      </c>
      <c r="C48" s="15">
        <v>68</v>
      </c>
      <c r="E48" s="4">
        <f t="shared" si="0"/>
        <v>65.349999999999994</v>
      </c>
    </row>
    <row r="49" spans="1:5" x14ac:dyDescent="0.35">
      <c r="A49" s="16">
        <v>57.9</v>
      </c>
      <c r="B49" s="17" t="s">
        <v>20</v>
      </c>
      <c r="C49" s="18">
        <v>80.3</v>
      </c>
      <c r="E49" s="4">
        <f t="shared" si="0"/>
        <v>69.099999999999994</v>
      </c>
    </row>
    <row r="50" spans="1:5" x14ac:dyDescent="0.35">
      <c r="A50" s="13">
        <v>73</v>
      </c>
      <c r="B50" s="14" t="s">
        <v>20</v>
      </c>
      <c r="C50" s="15">
        <v>88.6</v>
      </c>
      <c r="E50" s="4">
        <f t="shared" si="0"/>
        <v>80.8</v>
      </c>
    </row>
    <row r="51" spans="1:5" x14ac:dyDescent="0.35">
      <c r="A51" s="16">
        <v>48.5</v>
      </c>
      <c r="B51" s="17" t="s">
        <v>21</v>
      </c>
      <c r="C51" s="18">
        <v>69.400000000000006</v>
      </c>
      <c r="E51" s="4">
        <f t="shared" si="0"/>
        <v>58.95</v>
      </c>
    </row>
    <row r="52" spans="1:5" x14ac:dyDescent="0.35">
      <c r="A52" s="13">
        <v>66.5</v>
      </c>
      <c r="B52" s="14" t="s">
        <v>16</v>
      </c>
      <c r="C52" s="15">
        <v>100</v>
      </c>
      <c r="E52" s="4">
        <f t="shared" si="0"/>
        <v>83.25</v>
      </c>
    </row>
    <row r="53" spans="1:5" x14ac:dyDescent="0.35">
      <c r="A53" s="16">
        <v>72.900000000000006</v>
      </c>
      <c r="B53" s="17" t="s">
        <v>20</v>
      </c>
      <c r="C53" s="18">
        <v>81.8</v>
      </c>
      <c r="E53" s="4">
        <f t="shared" si="0"/>
        <v>77.349999999999994</v>
      </c>
    </row>
    <row r="54" spans="1:5" x14ac:dyDescent="0.35">
      <c r="A54" s="13">
        <v>66.8</v>
      </c>
      <c r="B54" s="14" t="s">
        <v>22</v>
      </c>
      <c r="C54" s="15">
        <v>72.599999999999994</v>
      </c>
      <c r="E54" s="4">
        <f t="shared" si="0"/>
        <v>69.699999999999989</v>
      </c>
    </row>
    <row r="55" spans="1:5" x14ac:dyDescent="0.35">
      <c r="A55" s="16">
        <v>51.5</v>
      </c>
      <c r="B55" s="17" t="s">
        <v>20</v>
      </c>
      <c r="C55" s="18">
        <v>85.3</v>
      </c>
      <c r="E55" s="4">
        <f t="shared" si="0"/>
        <v>68.400000000000006</v>
      </c>
    </row>
    <row r="56" spans="1:5" x14ac:dyDescent="0.35">
      <c r="A56" s="13">
        <v>89.1</v>
      </c>
      <c r="B56" s="14" t="s">
        <v>16</v>
      </c>
      <c r="C56" s="15">
        <v>99.8</v>
      </c>
      <c r="E56" s="4">
        <f t="shared" si="0"/>
        <v>94.449999999999989</v>
      </c>
    </row>
    <row r="57" spans="1:5" x14ac:dyDescent="0.35">
      <c r="A57" s="16">
        <v>71.2</v>
      </c>
      <c r="B57" s="17" t="s">
        <v>20</v>
      </c>
      <c r="C57" s="18">
        <v>84.3</v>
      </c>
      <c r="E57" s="4">
        <f t="shared" si="0"/>
        <v>77.75</v>
      </c>
    </row>
    <row r="58" spans="1:5" x14ac:dyDescent="0.35">
      <c r="A58" s="13">
        <v>87.2</v>
      </c>
      <c r="B58" s="14" t="s">
        <v>22</v>
      </c>
      <c r="C58" s="15">
        <v>71.5</v>
      </c>
      <c r="E58" s="4">
        <f t="shared" si="0"/>
        <v>79.349999999999994</v>
      </c>
    </row>
    <row r="59" spans="1:5" x14ac:dyDescent="0.35">
      <c r="A59" s="16">
        <v>66.900000000000006</v>
      </c>
      <c r="B59" s="17" t="s">
        <v>20</v>
      </c>
      <c r="C59" s="18">
        <v>84.3</v>
      </c>
      <c r="E59" s="4">
        <f t="shared" si="0"/>
        <v>75.599999999999994</v>
      </c>
    </row>
    <row r="60" spans="1:5" x14ac:dyDescent="0.35">
      <c r="A60" s="13">
        <v>59.4</v>
      </c>
      <c r="B60" s="14" t="s">
        <v>22</v>
      </c>
      <c r="C60" s="15">
        <v>74.5</v>
      </c>
      <c r="E60" s="4">
        <f t="shared" si="0"/>
        <v>66.95</v>
      </c>
    </row>
    <row r="61" spans="1:5" x14ac:dyDescent="0.35">
      <c r="A61" s="16">
        <v>73.2</v>
      </c>
      <c r="B61" s="17" t="s">
        <v>20</v>
      </c>
      <c r="C61" s="18">
        <v>89.5</v>
      </c>
      <c r="E61" s="4">
        <f t="shared" si="0"/>
        <v>81.349999999999994</v>
      </c>
    </row>
    <row r="62" spans="1:5" x14ac:dyDescent="0.35">
      <c r="A62" s="13">
        <v>67.400000000000006</v>
      </c>
      <c r="B62" s="14" t="s">
        <v>20</v>
      </c>
      <c r="C62" s="15">
        <v>80.400000000000006</v>
      </c>
      <c r="E62" s="4">
        <f t="shared" si="0"/>
        <v>73.900000000000006</v>
      </c>
    </row>
    <row r="63" spans="1:5" x14ac:dyDescent="0.35">
      <c r="A63" s="16">
        <v>55.9</v>
      </c>
      <c r="B63" s="17" t="s">
        <v>22</v>
      </c>
      <c r="C63" s="18">
        <v>71.099999999999994</v>
      </c>
      <c r="E63" s="4">
        <f t="shared" si="0"/>
        <v>63.5</v>
      </c>
    </row>
    <row r="64" spans="1:5" x14ac:dyDescent="0.35">
      <c r="A64" s="13">
        <v>87.6</v>
      </c>
      <c r="B64" s="14" t="s">
        <v>20</v>
      </c>
      <c r="C64" s="15">
        <v>87.8</v>
      </c>
      <c r="E64" s="4">
        <f t="shared" si="0"/>
        <v>87.699999999999989</v>
      </c>
    </row>
    <row r="65" spans="1:5" x14ac:dyDescent="0.35">
      <c r="A65" s="16">
        <v>62.5</v>
      </c>
      <c r="B65" s="17" t="s">
        <v>22</v>
      </c>
      <c r="C65" s="18">
        <v>73</v>
      </c>
      <c r="E65" s="4">
        <f t="shared" si="0"/>
        <v>67.75</v>
      </c>
    </row>
    <row r="66" spans="1:5" x14ac:dyDescent="0.35">
      <c r="A66" s="13">
        <v>47.9</v>
      </c>
      <c r="B66" s="14" t="s">
        <v>20</v>
      </c>
      <c r="C66" s="15">
        <v>80.8</v>
      </c>
      <c r="E66" s="4">
        <f t="shared" si="0"/>
        <v>64.349999999999994</v>
      </c>
    </row>
    <row r="67" spans="1:5" x14ac:dyDescent="0.35">
      <c r="A67" s="16">
        <v>85.9</v>
      </c>
      <c r="B67" s="17" t="s">
        <v>16</v>
      </c>
      <c r="C67" s="18">
        <v>97.4</v>
      </c>
      <c r="E67" s="4">
        <f t="shared" ref="E67:E130" si="1">(A67+C67)/2</f>
        <v>91.65</v>
      </c>
    </row>
    <row r="68" spans="1:5" x14ac:dyDescent="0.35">
      <c r="A68" s="13">
        <v>63.9</v>
      </c>
      <c r="B68" s="14" t="s">
        <v>21</v>
      </c>
      <c r="C68" s="15">
        <v>67.8</v>
      </c>
      <c r="E68" s="4">
        <f t="shared" si="1"/>
        <v>65.849999999999994</v>
      </c>
    </row>
    <row r="69" spans="1:5" x14ac:dyDescent="0.35">
      <c r="A69" s="16">
        <v>62.7</v>
      </c>
      <c r="B69" s="17" t="s">
        <v>22</v>
      </c>
      <c r="C69" s="18">
        <v>79.2</v>
      </c>
      <c r="E69" s="4">
        <f t="shared" si="1"/>
        <v>70.95</v>
      </c>
    </row>
    <row r="70" spans="1:5" x14ac:dyDescent="0.35">
      <c r="A70" s="13">
        <v>48.8</v>
      </c>
      <c r="B70" s="14" t="s">
        <v>22</v>
      </c>
      <c r="C70" s="15">
        <v>73.5</v>
      </c>
      <c r="E70" s="4">
        <f t="shared" si="1"/>
        <v>61.15</v>
      </c>
    </row>
    <row r="71" spans="1:5" x14ac:dyDescent="0.35">
      <c r="A71" s="16">
        <v>90.9</v>
      </c>
      <c r="B71" s="17" t="s">
        <v>20</v>
      </c>
      <c r="C71" s="18">
        <v>85.1</v>
      </c>
      <c r="E71" s="4">
        <f t="shared" si="1"/>
        <v>88</v>
      </c>
    </row>
    <row r="72" spans="1:5" x14ac:dyDescent="0.35">
      <c r="A72" s="13">
        <v>54.5</v>
      </c>
      <c r="B72" s="14" t="s">
        <v>22</v>
      </c>
      <c r="C72" s="15">
        <v>79.599999999999994</v>
      </c>
      <c r="E72" s="4">
        <f t="shared" si="1"/>
        <v>67.05</v>
      </c>
    </row>
    <row r="73" spans="1:5" x14ac:dyDescent="0.35">
      <c r="A73" s="16">
        <v>70.7</v>
      </c>
      <c r="B73" s="17" t="s">
        <v>22</v>
      </c>
      <c r="C73" s="18">
        <v>77.400000000000006</v>
      </c>
      <c r="E73" s="4">
        <f t="shared" si="1"/>
        <v>74.050000000000011</v>
      </c>
    </row>
    <row r="74" spans="1:5" x14ac:dyDescent="0.35">
      <c r="A74" s="13">
        <v>81</v>
      </c>
      <c r="B74" s="14" t="s">
        <v>16</v>
      </c>
      <c r="C74" s="15">
        <v>94.6</v>
      </c>
      <c r="E74" s="4">
        <f t="shared" si="1"/>
        <v>87.8</v>
      </c>
    </row>
    <row r="75" spans="1:5" x14ac:dyDescent="0.35">
      <c r="A75" s="16">
        <v>75.099999999999994</v>
      </c>
      <c r="B75" s="17" t="s">
        <v>22</v>
      </c>
      <c r="C75" s="18">
        <v>77.599999999999994</v>
      </c>
      <c r="E75" s="4">
        <f t="shared" si="1"/>
        <v>76.349999999999994</v>
      </c>
    </row>
    <row r="76" spans="1:5" x14ac:dyDescent="0.35">
      <c r="A76" s="13">
        <v>69.3</v>
      </c>
      <c r="B76" s="14" t="s">
        <v>16</v>
      </c>
      <c r="C76" s="15">
        <v>99.9</v>
      </c>
      <c r="E76" s="4">
        <f t="shared" si="1"/>
        <v>84.6</v>
      </c>
    </row>
    <row r="77" spans="1:5" x14ac:dyDescent="0.35">
      <c r="A77" s="16">
        <v>49.6</v>
      </c>
      <c r="B77" s="17" t="s">
        <v>21</v>
      </c>
      <c r="C77" s="18">
        <v>64.400000000000006</v>
      </c>
      <c r="E77" s="4">
        <f t="shared" si="1"/>
        <v>57</v>
      </c>
    </row>
    <row r="78" spans="1:5" x14ac:dyDescent="0.35">
      <c r="A78" s="13">
        <v>60.3</v>
      </c>
      <c r="B78" s="14" t="s">
        <v>22</v>
      </c>
      <c r="C78" s="15">
        <v>71.900000000000006</v>
      </c>
      <c r="E78" s="4">
        <f t="shared" si="1"/>
        <v>66.099999999999994</v>
      </c>
    </row>
    <row r="79" spans="1:5" x14ac:dyDescent="0.35">
      <c r="A79" s="16">
        <v>72.3</v>
      </c>
      <c r="B79" s="17" t="s">
        <v>22</v>
      </c>
      <c r="C79" s="18">
        <v>79.3</v>
      </c>
      <c r="E79" s="4">
        <f t="shared" si="1"/>
        <v>75.8</v>
      </c>
    </row>
    <row r="80" spans="1:5" x14ac:dyDescent="0.35">
      <c r="A80" s="13">
        <v>60.6</v>
      </c>
      <c r="B80" s="14" t="s">
        <v>22</v>
      </c>
      <c r="C80" s="15">
        <v>74.900000000000006</v>
      </c>
      <c r="E80" s="4">
        <f t="shared" si="1"/>
        <v>67.75</v>
      </c>
    </row>
    <row r="81" spans="1:5" x14ac:dyDescent="0.35">
      <c r="A81" s="16">
        <v>72.400000000000006</v>
      </c>
      <c r="B81" s="17" t="s">
        <v>20</v>
      </c>
      <c r="C81" s="18">
        <v>87.4</v>
      </c>
      <c r="E81" s="4">
        <f t="shared" si="1"/>
        <v>79.900000000000006</v>
      </c>
    </row>
    <row r="82" spans="1:5" x14ac:dyDescent="0.35">
      <c r="A82" s="13">
        <v>78.2</v>
      </c>
      <c r="B82" s="14" t="s">
        <v>16</v>
      </c>
      <c r="C82" s="15">
        <v>97.6</v>
      </c>
      <c r="E82" s="4">
        <f t="shared" si="1"/>
        <v>87.9</v>
      </c>
    </row>
    <row r="83" spans="1:5" x14ac:dyDescent="0.35">
      <c r="A83" s="16">
        <v>81.599999999999994</v>
      </c>
      <c r="B83" s="17" t="s">
        <v>22</v>
      </c>
      <c r="C83" s="18">
        <v>74.5</v>
      </c>
      <c r="E83" s="4">
        <f t="shared" si="1"/>
        <v>78.05</v>
      </c>
    </row>
    <row r="84" spans="1:5" x14ac:dyDescent="0.35">
      <c r="A84" s="13">
        <v>55.3</v>
      </c>
      <c r="B84" s="14" t="s">
        <v>21</v>
      </c>
      <c r="C84" s="15">
        <v>64.099999999999994</v>
      </c>
      <c r="E84" s="4">
        <f t="shared" si="1"/>
        <v>59.699999999999996</v>
      </c>
    </row>
    <row r="85" spans="1:5" x14ac:dyDescent="0.35">
      <c r="A85" s="16">
        <v>96.4</v>
      </c>
      <c r="B85" s="17" t="s">
        <v>16</v>
      </c>
      <c r="C85" s="18">
        <v>90</v>
      </c>
      <c r="E85" s="4">
        <f t="shared" si="1"/>
        <v>93.2</v>
      </c>
    </row>
    <row r="86" spans="1:5" x14ac:dyDescent="0.35">
      <c r="A86" s="13">
        <v>79.2</v>
      </c>
      <c r="B86" s="14" t="s">
        <v>16</v>
      </c>
      <c r="C86" s="15">
        <v>99.3</v>
      </c>
      <c r="E86" s="4">
        <f t="shared" si="1"/>
        <v>89.25</v>
      </c>
    </row>
    <row r="87" spans="1:5" x14ac:dyDescent="0.35">
      <c r="A87" s="16">
        <v>70</v>
      </c>
      <c r="B87" s="17" t="s">
        <v>21</v>
      </c>
      <c r="C87" s="18">
        <v>63.9</v>
      </c>
      <c r="E87" s="4">
        <f t="shared" si="1"/>
        <v>66.95</v>
      </c>
    </row>
    <row r="88" spans="1:5" x14ac:dyDescent="0.35">
      <c r="A88" s="13">
        <v>83.1</v>
      </c>
      <c r="B88" s="14" t="s">
        <v>22</v>
      </c>
      <c r="C88" s="15">
        <v>79</v>
      </c>
      <c r="E88" s="4">
        <f t="shared" si="1"/>
        <v>81.05</v>
      </c>
    </row>
    <row r="89" spans="1:5" x14ac:dyDescent="0.35">
      <c r="A89" s="16">
        <v>98.4</v>
      </c>
      <c r="B89" s="17" t="s">
        <v>16</v>
      </c>
      <c r="C89" s="18">
        <v>100</v>
      </c>
      <c r="E89" s="4">
        <f t="shared" si="1"/>
        <v>99.2</v>
      </c>
    </row>
    <row r="90" spans="1:5" x14ac:dyDescent="0.35">
      <c r="A90" s="13">
        <v>52.7</v>
      </c>
      <c r="B90" s="14" t="s">
        <v>22</v>
      </c>
      <c r="C90" s="15">
        <v>78.900000000000006</v>
      </c>
      <c r="E90" s="4">
        <f t="shared" si="1"/>
        <v>65.800000000000011</v>
      </c>
    </row>
    <row r="91" spans="1:5" x14ac:dyDescent="0.35">
      <c r="A91" s="16">
        <v>67.3</v>
      </c>
      <c r="B91" s="17" t="s">
        <v>20</v>
      </c>
      <c r="C91" s="18">
        <v>84.5</v>
      </c>
      <c r="E91" s="4">
        <f t="shared" si="1"/>
        <v>75.900000000000006</v>
      </c>
    </row>
    <row r="92" spans="1:5" x14ac:dyDescent="0.35">
      <c r="A92" s="13">
        <v>41.5</v>
      </c>
      <c r="B92" s="14" t="s">
        <v>22</v>
      </c>
      <c r="C92" s="15">
        <v>71.7</v>
      </c>
      <c r="E92" s="4">
        <f t="shared" si="1"/>
        <v>56.6</v>
      </c>
    </row>
    <row r="93" spans="1:5" x14ac:dyDescent="0.35">
      <c r="A93" s="16">
        <v>72.3</v>
      </c>
      <c r="B93" s="17" t="s">
        <v>20</v>
      </c>
      <c r="C93" s="18">
        <v>86.3</v>
      </c>
      <c r="E93" s="4">
        <f t="shared" si="1"/>
        <v>79.3</v>
      </c>
    </row>
    <row r="94" spans="1:5" x14ac:dyDescent="0.35">
      <c r="A94" s="13">
        <v>74.400000000000006</v>
      </c>
      <c r="B94" s="14" t="s">
        <v>16</v>
      </c>
      <c r="C94" s="15">
        <v>98.3</v>
      </c>
      <c r="E94" s="4">
        <f t="shared" si="1"/>
        <v>86.35</v>
      </c>
    </row>
    <row r="95" spans="1:5" x14ac:dyDescent="0.35">
      <c r="A95" s="16">
        <v>69.5</v>
      </c>
      <c r="B95" s="17" t="s">
        <v>20</v>
      </c>
      <c r="C95" s="18">
        <v>88.1</v>
      </c>
      <c r="E95" s="4">
        <f t="shared" si="1"/>
        <v>78.8</v>
      </c>
    </row>
    <row r="96" spans="1:5" x14ac:dyDescent="0.35">
      <c r="A96" s="13">
        <v>62.1</v>
      </c>
      <c r="B96" s="14" t="s">
        <v>16</v>
      </c>
      <c r="C96" s="15">
        <v>99.6</v>
      </c>
      <c r="E96" s="4">
        <f t="shared" si="1"/>
        <v>80.849999999999994</v>
      </c>
    </row>
    <row r="97" spans="1:5" x14ac:dyDescent="0.35">
      <c r="A97" s="16">
        <v>45.4</v>
      </c>
      <c r="B97" s="17" t="s">
        <v>22</v>
      </c>
      <c r="C97" s="18">
        <v>74.8</v>
      </c>
      <c r="E97" s="4">
        <f t="shared" si="1"/>
        <v>60.099999999999994</v>
      </c>
    </row>
    <row r="98" spans="1:5" x14ac:dyDescent="0.35">
      <c r="A98" s="13">
        <v>74.5</v>
      </c>
      <c r="B98" s="14" t="s">
        <v>20</v>
      </c>
      <c r="C98" s="15">
        <v>87.4</v>
      </c>
      <c r="E98" s="4">
        <f t="shared" si="1"/>
        <v>80.95</v>
      </c>
    </row>
    <row r="99" spans="1:5" x14ac:dyDescent="0.35">
      <c r="A99" s="16">
        <v>87.5</v>
      </c>
      <c r="B99" s="17" t="s">
        <v>20</v>
      </c>
      <c r="C99" s="18">
        <v>88.5</v>
      </c>
      <c r="E99" s="4">
        <f t="shared" si="1"/>
        <v>88</v>
      </c>
    </row>
    <row r="100" spans="1:5" x14ac:dyDescent="0.35">
      <c r="A100" s="13">
        <v>62.9</v>
      </c>
      <c r="B100" s="14" t="s">
        <v>21</v>
      </c>
      <c r="C100" s="15">
        <v>65.2</v>
      </c>
      <c r="E100" s="4">
        <f t="shared" si="1"/>
        <v>64.05</v>
      </c>
    </row>
    <row r="101" spans="1:5" x14ac:dyDescent="0.35">
      <c r="A101" s="16">
        <v>75.3</v>
      </c>
      <c r="B101" s="17" t="s">
        <v>22</v>
      </c>
      <c r="C101" s="18">
        <v>79.2</v>
      </c>
      <c r="E101" s="4">
        <f t="shared" si="1"/>
        <v>77.25</v>
      </c>
    </row>
    <row r="102" spans="1:5" x14ac:dyDescent="0.35">
      <c r="A102" s="13">
        <v>51.2</v>
      </c>
      <c r="B102" s="14" t="s">
        <v>22</v>
      </c>
      <c r="C102" s="15">
        <v>74.5</v>
      </c>
      <c r="E102" s="4">
        <f t="shared" si="1"/>
        <v>62.85</v>
      </c>
    </row>
    <row r="103" spans="1:5" x14ac:dyDescent="0.35">
      <c r="A103" s="16">
        <v>75.5</v>
      </c>
      <c r="B103" s="17" t="s">
        <v>21</v>
      </c>
      <c r="C103" s="18">
        <v>66.3</v>
      </c>
      <c r="E103" s="4">
        <f t="shared" si="1"/>
        <v>70.900000000000006</v>
      </c>
    </row>
    <row r="104" spans="1:5" x14ac:dyDescent="0.35">
      <c r="A104" s="13">
        <v>65.3</v>
      </c>
      <c r="B104" s="14" t="s">
        <v>20</v>
      </c>
      <c r="C104" s="15">
        <v>89.5</v>
      </c>
      <c r="E104" s="4">
        <f t="shared" si="1"/>
        <v>77.400000000000006</v>
      </c>
    </row>
    <row r="105" spans="1:5" x14ac:dyDescent="0.35">
      <c r="A105" s="16">
        <v>60.9</v>
      </c>
      <c r="B105" s="17" t="s">
        <v>16</v>
      </c>
      <c r="C105" s="18">
        <v>92.7</v>
      </c>
      <c r="E105" s="4">
        <f t="shared" si="1"/>
        <v>76.8</v>
      </c>
    </row>
    <row r="106" spans="1:5" x14ac:dyDescent="0.35">
      <c r="A106" s="13">
        <v>60.9</v>
      </c>
      <c r="B106" s="14" t="s">
        <v>20</v>
      </c>
      <c r="C106" s="15">
        <v>87.2</v>
      </c>
      <c r="E106" s="4">
        <f t="shared" si="1"/>
        <v>74.05</v>
      </c>
    </row>
    <row r="107" spans="1:5" x14ac:dyDescent="0.35">
      <c r="A107" s="16">
        <v>65.3</v>
      </c>
      <c r="B107" s="17" t="s">
        <v>16</v>
      </c>
      <c r="C107" s="18">
        <v>92.5</v>
      </c>
      <c r="E107" s="4">
        <f t="shared" si="1"/>
        <v>78.900000000000006</v>
      </c>
    </row>
    <row r="108" spans="1:5" x14ac:dyDescent="0.35">
      <c r="A108" s="13">
        <v>74.599999999999994</v>
      </c>
      <c r="B108" s="14" t="s">
        <v>22</v>
      </c>
      <c r="C108" s="15">
        <v>75.7</v>
      </c>
      <c r="E108" s="4">
        <f t="shared" si="1"/>
        <v>75.150000000000006</v>
      </c>
    </row>
    <row r="109" spans="1:5" x14ac:dyDescent="0.35">
      <c r="A109" s="16">
        <v>54.3</v>
      </c>
      <c r="B109" s="17" t="s">
        <v>22</v>
      </c>
      <c r="C109" s="18">
        <v>74</v>
      </c>
      <c r="E109" s="4">
        <f t="shared" si="1"/>
        <v>64.150000000000006</v>
      </c>
    </row>
    <row r="110" spans="1:5" x14ac:dyDescent="0.35">
      <c r="A110" s="13">
        <v>65.2</v>
      </c>
      <c r="B110" s="14" t="s">
        <v>16</v>
      </c>
      <c r="C110" s="15">
        <v>100</v>
      </c>
      <c r="E110" s="4">
        <f t="shared" si="1"/>
        <v>82.6</v>
      </c>
    </row>
    <row r="111" spans="1:5" x14ac:dyDescent="0.35">
      <c r="A111" s="16">
        <v>69.5</v>
      </c>
      <c r="B111" s="17" t="s">
        <v>22</v>
      </c>
      <c r="C111" s="18">
        <v>75.5</v>
      </c>
      <c r="E111" s="4">
        <f t="shared" si="1"/>
        <v>72.5</v>
      </c>
    </row>
    <row r="112" spans="1:5" x14ac:dyDescent="0.35">
      <c r="A112" s="13">
        <v>56.8</v>
      </c>
      <c r="B112" s="14" t="s">
        <v>21</v>
      </c>
      <c r="C112" s="15">
        <v>61.7</v>
      </c>
      <c r="E112" s="4">
        <f t="shared" si="1"/>
        <v>59.25</v>
      </c>
    </row>
    <row r="113" spans="1:5" x14ac:dyDescent="0.35">
      <c r="A113" s="16">
        <v>91.6</v>
      </c>
      <c r="B113" s="17" t="s">
        <v>16</v>
      </c>
      <c r="C113" s="18">
        <v>91.4</v>
      </c>
      <c r="E113" s="4">
        <f t="shared" si="1"/>
        <v>91.5</v>
      </c>
    </row>
    <row r="114" spans="1:5" x14ac:dyDescent="0.35">
      <c r="A114" s="13">
        <v>59.8</v>
      </c>
      <c r="B114" s="14" t="s">
        <v>22</v>
      </c>
      <c r="C114" s="15">
        <v>72.7</v>
      </c>
      <c r="E114" s="4">
        <f t="shared" si="1"/>
        <v>66.25</v>
      </c>
    </row>
    <row r="115" spans="1:5" x14ac:dyDescent="0.35">
      <c r="A115" s="16">
        <v>62</v>
      </c>
      <c r="B115" s="17" t="s">
        <v>22</v>
      </c>
      <c r="C115" s="18">
        <v>74.599999999999994</v>
      </c>
      <c r="E115" s="4">
        <f t="shared" si="1"/>
        <v>68.3</v>
      </c>
    </row>
    <row r="116" spans="1:5" x14ac:dyDescent="0.35">
      <c r="A116" s="13">
        <v>58.3</v>
      </c>
      <c r="B116" s="14" t="s">
        <v>16</v>
      </c>
      <c r="C116" s="15">
        <v>96.5</v>
      </c>
      <c r="E116" s="4">
        <f t="shared" si="1"/>
        <v>77.400000000000006</v>
      </c>
    </row>
    <row r="117" spans="1:5" x14ac:dyDescent="0.35">
      <c r="A117" s="16">
        <v>91.6</v>
      </c>
      <c r="B117" s="17" t="s">
        <v>16</v>
      </c>
      <c r="C117" s="18">
        <v>94.5</v>
      </c>
      <c r="E117" s="4">
        <f t="shared" si="1"/>
        <v>93.05</v>
      </c>
    </row>
    <row r="118" spans="1:5" x14ac:dyDescent="0.35">
      <c r="A118" s="13">
        <v>76.599999999999994</v>
      </c>
      <c r="B118" s="14" t="s">
        <v>25</v>
      </c>
      <c r="C118" s="15">
        <v>59.3</v>
      </c>
      <c r="E118" s="4">
        <f t="shared" si="1"/>
        <v>67.949999999999989</v>
      </c>
    </row>
    <row r="119" spans="1:5" x14ac:dyDescent="0.35">
      <c r="A119" s="16">
        <v>58.8</v>
      </c>
      <c r="B119" s="17" t="s">
        <v>16</v>
      </c>
      <c r="C119" s="18">
        <v>96.2</v>
      </c>
      <c r="E119" s="4">
        <f t="shared" si="1"/>
        <v>77.5</v>
      </c>
    </row>
    <row r="120" spans="1:5" x14ac:dyDescent="0.35">
      <c r="A120" s="13">
        <v>83.3</v>
      </c>
      <c r="B120" s="14" t="s">
        <v>22</v>
      </c>
      <c r="C120" s="15">
        <v>75.3</v>
      </c>
      <c r="E120" s="4">
        <f t="shared" si="1"/>
        <v>79.3</v>
      </c>
    </row>
    <row r="121" spans="1:5" x14ac:dyDescent="0.35">
      <c r="A121" s="16">
        <v>72.400000000000006</v>
      </c>
      <c r="B121" s="17" t="s">
        <v>22</v>
      </c>
      <c r="C121" s="18">
        <v>73.3</v>
      </c>
      <c r="E121" s="4">
        <f t="shared" si="1"/>
        <v>72.849999999999994</v>
      </c>
    </row>
    <row r="122" spans="1:5" x14ac:dyDescent="0.35">
      <c r="A122" s="13">
        <v>73.099999999999994</v>
      </c>
      <c r="B122" s="14" t="s">
        <v>16</v>
      </c>
      <c r="C122" s="15">
        <v>95.8</v>
      </c>
      <c r="E122" s="4">
        <f t="shared" si="1"/>
        <v>84.449999999999989</v>
      </c>
    </row>
    <row r="123" spans="1:5" x14ac:dyDescent="0.35">
      <c r="A123" s="16">
        <v>65.900000000000006</v>
      </c>
      <c r="B123" s="17" t="s">
        <v>20</v>
      </c>
      <c r="C123" s="18">
        <v>81</v>
      </c>
      <c r="E123" s="4">
        <f t="shared" si="1"/>
        <v>73.45</v>
      </c>
    </row>
    <row r="124" spans="1:5" x14ac:dyDescent="0.35">
      <c r="A124" s="13">
        <v>61</v>
      </c>
      <c r="B124" s="14" t="s">
        <v>22</v>
      </c>
      <c r="C124" s="15">
        <v>76.5</v>
      </c>
      <c r="E124" s="4">
        <f t="shared" si="1"/>
        <v>68.75</v>
      </c>
    </row>
    <row r="125" spans="1:5" x14ac:dyDescent="0.35">
      <c r="A125" s="16">
        <v>74.099999999999994</v>
      </c>
      <c r="B125" s="17" t="s">
        <v>20</v>
      </c>
      <c r="C125" s="18">
        <v>88.1</v>
      </c>
      <c r="E125" s="4">
        <f t="shared" si="1"/>
        <v>81.099999999999994</v>
      </c>
    </row>
    <row r="126" spans="1:5" x14ac:dyDescent="0.35">
      <c r="A126" s="13">
        <v>63.5</v>
      </c>
      <c r="B126" s="14" t="s">
        <v>20</v>
      </c>
      <c r="C126" s="15">
        <v>88.1</v>
      </c>
      <c r="E126" s="4">
        <f t="shared" si="1"/>
        <v>75.8</v>
      </c>
    </row>
    <row r="127" spans="1:5" x14ac:dyDescent="0.35">
      <c r="A127" s="16">
        <v>91.8</v>
      </c>
      <c r="B127" s="17" t="s">
        <v>16</v>
      </c>
      <c r="C127" s="18">
        <v>92.1</v>
      </c>
      <c r="E127" s="4">
        <f t="shared" si="1"/>
        <v>91.949999999999989</v>
      </c>
    </row>
    <row r="128" spans="1:5" x14ac:dyDescent="0.35">
      <c r="A128" s="13">
        <v>54.8</v>
      </c>
      <c r="B128" s="14" t="s">
        <v>20</v>
      </c>
      <c r="C128" s="15">
        <v>85.2</v>
      </c>
      <c r="E128" s="4">
        <f t="shared" si="1"/>
        <v>70</v>
      </c>
    </row>
    <row r="129" spans="1:5" x14ac:dyDescent="0.35">
      <c r="A129" s="16">
        <v>88.4</v>
      </c>
      <c r="B129" s="17" t="s">
        <v>21</v>
      </c>
      <c r="C129" s="18">
        <v>63</v>
      </c>
      <c r="E129" s="4">
        <f t="shared" si="1"/>
        <v>75.7</v>
      </c>
    </row>
    <row r="130" spans="1:5" x14ac:dyDescent="0.35">
      <c r="A130" s="13">
        <v>68.7</v>
      </c>
      <c r="B130" s="14" t="s">
        <v>20</v>
      </c>
      <c r="C130" s="15">
        <v>81.099999999999994</v>
      </c>
      <c r="E130" s="4">
        <f t="shared" si="1"/>
        <v>74.900000000000006</v>
      </c>
    </row>
    <row r="131" spans="1:5" x14ac:dyDescent="0.35">
      <c r="A131" s="16">
        <v>73.599999999999994</v>
      </c>
      <c r="B131" s="17" t="s">
        <v>20</v>
      </c>
      <c r="C131" s="18">
        <v>87.1</v>
      </c>
      <c r="E131" s="4">
        <f t="shared" ref="E131:E194" si="2">(A131+C131)/2</f>
        <v>80.349999999999994</v>
      </c>
    </row>
    <row r="132" spans="1:5" x14ac:dyDescent="0.35">
      <c r="A132" s="13">
        <v>80</v>
      </c>
      <c r="B132" s="14" t="s">
        <v>16</v>
      </c>
      <c r="C132" s="15">
        <v>100</v>
      </c>
      <c r="E132" s="4">
        <f t="shared" si="2"/>
        <v>90</v>
      </c>
    </row>
    <row r="133" spans="1:5" x14ac:dyDescent="0.35">
      <c r="A133" s="16">
        <v>62.4</v>
      </c>
      <c r="B133" s="17" t="s">
        <v>22</v>
      </c>
      <c r="C133" s="18">
        <v>75.7</v>
      </c>
      <c r="E133" s="4">
        <f t="shared" si="2"/>
        <v>69.05</v>
      </c>
    </row>
    <row r="134" spans="1:5" x14ac:dyDescent="0.35">
      <c r="A134" s="13">
        <v>80.400000000000006</v>
      </c>
      <c r="B134" s="14" t="s">
        <v>22</v>
      </c>
      <c r="C134" s="15">
        <v>77.3</v>
      </c>
      <c r="E134" s="4">
        <f t="shared" si="2"/>
        <v>78.849999999999994</v>
      </c>
    </row>
    <row r="135" spans="1:5" x14ac:dyDescent="0.35">
      <c r="A135" s="16">
        <v>37.5</v>
      </c>
      <c r="B135" s="17" t="s">
        <v>20</v>
      </c>
      <c r="C135" s="18">
        <v>85.6</v>
      </c>
      <c r="E135" s="4">
        <f t="shared" si="2"/>
        <v>61.55</v>
      </c>
    </row>
    <row r="136" spans="1:5" x14ac:dyDescent="0.35">
      <c r="A136" s="13">
        <v>61.4</v>
      </c>
      <c r="B136" s="14" t="s">
        <v>20</v>
      </c>
      <c r="C136" s="15">
        <v>80.8</v>
      </c>
      <c r="E136" s="4">
        <f t="shared" si="2"/>
        <v>71.099999999999994</v>
      </c>
    </row>
    <row r="137" spans="1:5" x14ac:dyDescent="0.35">
      <c r="A137" s="16">
        <v>58.9</v>
      </c>
      <c r="B137" s="17" t="s">
        <v>16</v>
      </c>
      <c r="C137" s="18">
        <v>94.5</v>
      </c>
      <c r="E137" s="4">
        <f t="shared" si="2"/>
        <v>76.7</v>
      </c>
    </row>
    <row r="138" spans="1:5" x14ac:dyDescent="0.35">
      <c r="A138" s="13">
        <v>55</v>
      </c>
      <c r="B138" s="14" t="s">
        <v>25</v>
      </c>
      <c r="C138" s="15">
        <v>59.7</v>
      </c>
      <c r="E138" s="4">
        <f t="shared" si="2"/>
        <v>57.35</v>
      </c>
    </row>
    <row r="139" spans="1:5" x14ac:dyDescent="0.35">
      <c r="A139" s="16">
        <v>67.400000000000006</v>
      </c>
      <c r="B139" s="17" t="s">
        <v>20</v>
      </c>
      <c r="C139" s="18">
        <v>80.900000000000006</v>
      </c>
      <c r="E139" s="4">
        <f t="shared" si="2"/>
        <v>74.150000000000006</v>
      </c>
    </row>
    <row r="140" spans="1:5" x14ac:dyDescent="0.35">
      <c r="A140" s="13">
        <v>74.599999999999994</v>
      </c>
      <c r="B140" s="14" t="s">
        <v>20</v>
      </c>
      <c r="C140" s="15">
        <v>82.6</v>
      </c>
      <c r="E140" s="4">
        <f t="shared" si="2"/>
        <v>78.599999999999994</v>
      </c>
    </row>
    <row r="141" spans="1:5" x14ac:dyDescent="0.35">
      <c r="A141" s="16">
        <v>78.400000000000006</v>
      </c>
      <c r="B141" s="17" t="s">
        <v>20</v>
      </c>
      <c r="C141" s="18">
        <v>80.2</v>
      </c>
      <c r="E141" s="4">
        <f t="shared" si="2"/>
        <v>79.300000000000011</v>
      </c>
    </row>
    <row r="142" spans="1:5" x14ac:dyDescent="0.35">
      <c r="A142" s="13">
        <v>72.900000000000006</v>
      </c>
      <c r="B142" s="14" t="s">
        <v>20</v>
      </c>
      <c r="C142" s="15">
        <v>82.4</v>
      </c>
      <c r="E142" s="4">
        <f t="shared" si="2"/>
        <v>77.650000000000006</v>
      </c>
    </row>
    <row r="143" spans="1:5" x14ac:dyDescent="0.35">
      <c r="A143" s="16">
        <v>62</v>
      </c>
      <c r="B143" s="17" t="s">
        <v>22</v>
      </c>
      <c r="C143" s="18">
        <v>75.900000000000006</v>
      </c>
      <c r="E143" s="4">
        <f t="shared" si="2"/>
        <v>68.95</v>
      </c>
    </row>
    <row r="144" spans="1:5" x14ac:dyDescent="0.35">
      <c r="A144" s="13">
        <v>74.400000000000006</v>
      </c>
      <c r="B144" s="14" t="s">
        <v>20</v>
      </c>
      <c r="C144" s="15">
        <v>88.5</v>
      </c>
      <c r="E144" s="4">
        <f t="shared" si="2"/>
        <v>81.45</v>
      </c>
    </row>
    <row r="145" spans="1:5" x14ac:dyDescent="0.35">
      <c r="A145" s="16">
        <v>71.5</v>
      </c>
      <c r="B145" s="17" t="s">
        <v>21</v>
      </c>
      <c r="C145" s="18">
        <v>69.599999999999994</v>
      </c>
      <c r="E145" s="4">
        <f t="shared" si="2"/>
        <v>70.55</v>
      </c>
    </row>
    <row r="146" spans="1:5" x14ac:dyDescent="0.35">
      <c r="A146" s="13">
        <v>81.2</v>
      </c>
      <c r="B146" s="14" t="s">
        <v>20</v>
      </c>
      <c r="C146" s="15">
        <v>86.8</v>
      </c>
      <c r="E146" s="4">
        <f t="shared" si="2"/>
        <v>84</v>
      </c>
    </row>
    <row r="147" spans="1:5" x14ac:dyDescent="0.35">
      <c r="A147" s="16">
        <v>79.3</v>
      </c>
      <c r="B147" s="17" t="s">
        <v>21</v>
      </c>
      <c r="C147" s="18">
        <v>65.2</v>
      </c>
      <c r="E147" s="4">
        <f t="shared" si="2"/>
        <v>72.25</v>
      </c>
    </row>
    <row r="148" spans="1:5" x14ac:dyDescent="0.35">
      <c r="A148" s="13">
        <v>70.400000000000006</v>
      </c>
      <c r="B148" s="14" t="s">
        <v>20</v>
      </c>
      <c r="C148" s="15">
        <v>82</v>
      </c>
      <c r="E148" s="4">
        <f t="shared" si="2"/>
        <v>76.2</v>
      </c>
    </row>
    <row r="149" spans="1:5" x14ac:dyDescent="0.35">
      <c r="A149" s="16">
        <v>59.2</v>
      </c>
      <c r="B149" s="17" t="s">
        <v>25</v>
      </c>
      <c r="C149" s="18">
        <v>46.8</v>
      </c>
      <c r="E149" s="4">
        <f t="shared" si="2"/>
        <v>53</v>
      </c>
    </row>
    <row r="150" spans="1:5" x14ac:dyDescent="0.35">
      <c r="A150" s="13">
        <v>62.2</v>
      </c>
      <c r="B150" s="14" t="s">
        <v>21</v>
      </c>
      <c r="C150" s="15">
        <v>68.599999999999994</v>
      </c>
      <c r="E150" s="4">
        <f t="shared" si="2"/>
        <v>65.400000000000006</v>
      </c>
    </row>
    <row r="151" spans="1:5" x14ac:dyDescent="0.35">
      <c r="A151" s="16">
        <v>63.4</v>
      </c>
      <c r="B151" s="17" t="s">
        <v>21</v>
      </c>
      <c r="C151" s="18">
        <v>69.2</v>
      </c>
      <c r="E151" s="4">
        <f t="shared" si="2"/>
        <v>66.3</v>
      </c>
    </row>
    <row r="152" spans="1:5" x14ac:dyDescent="0.35">
      <c r="A152" s="13">
        <v>66.2</v>
      </c>
      <c r="B152" s="14" t="s">
        <v>20</v>
      </c>
      <c r="C152" s="15">
        <v>84.7</v>
      </c>
      <c r="E152" s="4">
        <f t="shared" si="2"/>
        <v>75.45</v>
      </c>
    </row>
    <row r="153" spans="1:5" x14ac:dyDescent="0.35">
      <c r="A153" s="16">
        <v>73.2</v>
      </c>
      <c r="B153" s="17" t="s">
        <v>22</v>
      </c>
      <c r="C153" s="18">
        <v>75.900000000000006</v>
      </c>
      <c r="E153" s="4">
        <f t="shared" si="2"/>
        <v>74.550000000000011</v>
      </c>
    </row>
    <row r="154" spans="1:5" x14ac:dyDescent="0.35">
      <c r="A154" s="13">
        <v>78.599999999999994</v>
      </c>
      <c r="B154" s="14" t="s">
        <v>20</v>
      </c>
      <c r="C154" s="15">
        <v>84.7</v>
      </c>
      <c r="E154" s="4">
        <f t="shared" si="2"/>
        <v>81.650000000000006</v>
      </c>
    </row>
    <row r="155" spans="1:5" x14ac:dyDescent="0.35">
      <c r="A155" s="16">
        <v>69.400000000000006</v>
      </c>
      <c r="B155" s="17" t="s">
        <v>22</v>
      </c>
      <c r="C155" s="18">
        <v>75.7</v>
      </c>
      <c r="E155" s="4">
        <f t="shared" si="2"/>
        <v>72.550000000000011</v>
      </c>
    </row>
    <row r="156" spans="1:5" x14ac:dyDescent="0.35">
      <c r="A156" s="13">
        <v>70.2</v>
      </c>
      <c r="B156" s="14" t="s">
        <v>16</v>
      </c>
      <c r="C156" s="15">
        <v>95.4</v>
      </c>
      <c r="E156" s="4">
        <f t="shared" si="2"/>
        <v>82.800000000000011</v>
      </c>
    </row>
    <row r="157" spans="1:5" x14ac:dyDescent="0.35">
      <c r="A157" s="16">
        <v>71.7</v>
      </c>
      <c r="B157" s="17" t="s">
        <v>20</v>
      </c>
      <c r="C157" s="18">
        <v>87.6</v>
      </c>
      <c r="E157" s="4">
        <f t="shared" si="2"/>
        <v>79.650000000000006</v>
      </c>
    </row>
    <row r="158" spans="1:5" x14ac:dyDescent="0.35">
      <c r="A158" s="13">
        <v>63.8</v>
      </c>
      <c r="B158" s="14" t="s">
        <v>20</v>
      </c>
      <c r="C158" s="15">
        <v>87.7</v>
      </c>
      <c r="E158" s="4">
        <f t="shared" si="2"/>
        <v>75.75</v>
      </c>
    </row>
    <row r="159" spans="1:5" x14ac:dyDescent="0.35">
      <c r="A159" s="16">
        <v>58.9</v>
      </c>
      <c r="B159" s="17" t="s">
        <v>20</v>
      </c>
      <c r="C159" s="18">
        <v>89.3</v>
      </c>
      <c r="E159" s="4">
        <f t="shared" si="2"/>
        <v>74.099999999999994</v>
      </c>
    </row>
    <row r="160" spans="1:5" x14ac:dyDescent="0.35">
      <c r="A160" s="13">
        <v>48.9</v>
      </c>
      <c r="B160" s="14" t="s">
        <v>21</v>
      </c>
      <c r="C160" s="15">
        <v>63.7</v>
      </c>
      <c r="E160" s="4">
        <f t="shared" si="2"/>
        <v>56.3</v>
      </c>
    </row>
    <row r="161" spans="1:5" x14ac:dyDescent="0.35">
      <c r="A161" s="16">
        <v>61.7</v>
      </c>
      <c r="B161" s="17" t="s">
        <v>22</v>
      </c>
      <c r="C161" s="18">
        <v>74</v>
      </c>
      <c r="E161" s="4">
        <f t="shared" si="2"/>
        <v>67.849999999999994</v>
      </c>
    </row>
    <row r="162" spans="1:5" x14ac:dyDescent="0.35">
      <c r="A162" s="13">
        <v>75.7</v>
      </c>
      <c r="B162" s="14" t="s">
        <v>20</v>
      </c>
      <c r="C162" s="15">
        <v>87.9</v>
      </c>
      <c r="E162" s="4">
        <f t="shared" si="2"/>
        <v>81.800000000000011</v>
      </c>
    </row>
    <row r="163" spans="1:5" x14ac:dyDescent="0.35">
      <c r="A163" s="16">
        <v>61.6</v>
      </c>
      <c r="B163" s="17" t="s">
        <v>22</v>
      </c>
      <c r="C163" s="18">
        <v>76.599999999999994</v>
      </c>
      <c r="E163" s="4">
        <f t="shared" si="2"/>
        <v>69.099999999999994</v>
      </c>
    </row>
    <row r="164" spans="1:5" x14ac:dyDescent="0.35">
      <c r="A164" s="13">
        <v>67.099999999999994</v>
      </c>
      <c r="B164" s="14" t="s">
        <v>16</v>
      </c>
      <c r="C164" s="15">
        <v>97.3</v>
      </c>
      <c r="E164" s="4">
        <f t="shared" si="2"/>
        <v>82.199999999999989</v>
      </c>
    </row>
    <row r="165" spans="1:5" x14ac:dyDescent="0.35">
      <c r="A165" s="16">
        <v>75.599999999999994</v>
      </c>
      <c r="B165" s="17" t="s">
        <v>16</v>
      </c>
      <c r="C165" s="18">
        <v>90.2</v>
      </c>
      <c r="E165" s="4">
        <f t="shared" si="2"/>
        <v>82.9</v>
      </c>
    </row>
    <row r="166" spans="1:5" x14ac:dyDescent="0.35">
      <c r="A166" s="13">
        <v>76.2</v>
      </c>
      <c r="B166" s="14" t="s">
        <v>20</v>
      </c>
      <c r="C166" s="15">
        <v>88.7</v>
      </c>
      <c r="E166" s="4">
        <f t="shared" si="2"/>
        <v>82.45</v>
      </c>
    </row>
    <row r="167" spans="1:5" x14ac:dyDescent="0.35">
      <c r="A167" s="16">
        <v>57</v>
      </c>
      <c r="B167" s="17" t="s">
        <v>20</v>
      </c>
      <c r="C167" s="18">
        <v>84.8</v>
      </c>
      <c r="E167" s="4">
        <f t="shared" si="2"/>
        <v>70.900000000000006</v>
      </c>
    </row>
    <row r="168" spans="1:5" x14ac:dyDescent="0.35">
      <c r="A168" s="13">
        <v>82</v>
      </c>
      <c r="B168" s="14" t="s">
        <v>16</v>
      </c>
      <c r="C168" s="15">
        <v>100</v>
      </c>
      <c r="E168" s="4">
        <f t="shared" si="2"/>
        <v>91</v>
      </c>
    </row>
    <row r="169" spans="1:5" x14ac:dyDescent="0.35">
      <c r="A169" s="16">
        <v>83.5</v>
      </c>
      <c r="B169" s="17" t="s">
        <v>20</v>
      </c>
      <c r="C169" s="18">
        <v>82.1</v>
      </c>
      <c r="E169" s="4">
        <f t="shared" si="2"/>
        <v>82.8</v>
      </c>
    </row>
    <row r="170" spans="1:5" x14ac:dyDescent="0.35">
      <c r="A170" s="13">
        <v>56.4</v>
      </c>
      <c r="B170" s="14" t="s">
        <v>22</v>
      </c>
      <c r="C170" s="15">
        <v>75.099999999999994</v>
      </c>
      <c r="E170" s="4">
        <f t="shared" si="2"/>
        <v>65.75</v>
      </c>
    </row>
    <row r="171" spans="1:5" x14ac:dyDescent="0.35">
      <c r="A171" s="16">
        <v>60.1</v>
      </c>
      <c r="B171" s="17" t="s">
        <v>22</v>
      </c>
      <c r="C171" s="18">
        <v>78.099999999999994</v>
      </c>
      <c r="E171" s="4">
        <f t="shared" si="2"/>
        <v>69.099999999999994</v>
      </c>
    </row>
    <row r="172" spans="1:5" x14ac:dyDescent="0.35">
      <c r="A172" s="13">
        <v>84.3</v>
      </c>
      <c r="B172" s="14" t="s">
        <v>16</v>
      </c>
      <c r="C172" s="15">
        <v>92.9</v>
      </c>
      <c r="E172" s="4">
        <f t="shared" si="2"/>
        <v>88.6</v>
      </c>
    </row>
    <row r="173" spans="1:5" x14ac:dyDescent="0.35">
      <c r="A173" s="16">
        <v>68.2</v>
      </c>
      <c r="B173" s="17" t="s">
        <v>22</v>
      </c>
      <c r="C173" s="18">
        <v>71.8</v>
      </c>
      <c r="E173" s="4">
        <f t="shared" si="2"/>
        <v>70</v>
      </c>
    </row>
    <row r="174" spans="1:5" x14ac:dyDescent="0.35">
      <c r="A174" s="13">
        <v>43.4</v>
      </c>
      <c r="B174" s="14" t="s">
        <v>22</v>
      </c>
      <c r="C174" s="15">
        <v>78.5</v>
      </c>
      <c r="E174" s="4">
        <f t="shared" si="2"/>
        <v>60.95</v>
      </c>
    </row>
    <row r="175" spans="1:5" x14ac:dyDescent="0.35">
      <c r="A175" s="16">
        <v>53.2</v>
      </c>
      <c r="B175" s="17" t="s">
        <v>20</v>
      </c>
      <c r="C175" s="18">
        <v>82.6</v>
      </c>
      <c r="E175" s="4">
        <f t="shared" si="2"/>
        <v>67.900000000000006</v>
      </c>
    </row>
    <row r="176" spans="1:5" x14ac:dyDescent="0.35">
      <c r="A176" s="13">
        <v>67</v>
      </c>
      <c r="B176" s="14" t="s">
        <v>22</v>
      </c>
      <c r="C176" s="15">
        <v>79.2</v>
      </c>
      <c r="E176" s="4">
        <f t="shared" si="2"/>
        <v>73.099999999999994</v>
      </c>
    </row>
    <row r="177" spans="1:5" x14ac:dyDescent="0.35">
      <c r="A177" s="16">
        <v>56</v>
      </c>
      <c r="B177" s="17" t="s">
        <v>20</v>
      </c>
      <c r="C177" s="18">
        <v>89.7</v>
      </c>
      <c r="E177" s="4">
        <f t="shared" si="2"/>
        <v>72.849999999999994</v>
      </c>
    </row>
    <row r="178" spans="1:5" x14ac:dyDescent="0.35">
      <c r="A178" s="13">
        <v>65</v>
      </c>
      <c r="B178" s="14" t="s">
        <v>20</v>
      </c>
      <c r="C178" s="15">
        <v>89.2</v>
      </c>
      <c r="E178" s="4">
        <f t="shared" si="2"/>
        <v>77.099999999999994</v>
      </c>
    </row>
    <row r="179" spans="1:5" x14ac:dyDescent="0.35">
      <c r="A179" s="16">
        <v>70.400000000000006</v>
      </c>
      <c r="B179" s="17" t="s">
        <v>20</v>
      </c>
      <c r="C179" s="18">
        <v>81.7</v>
      </c>
      <c r="E179" s="4">
        <f t="shared" si="2"/>
        <v>76.050000000000011</v>
      </c>
    </row>
    <row r="180" spans="1:5" x14ac:dyDescent="0.35">
      <c r="A180" s="13">
        <v>87.5</v>
      </c>
      <c r="B180" s="14" t="s">
        <v>16</v>
      </c>
      <c r="C180" s="15">
        <v>96.7</v>
      </c>
      <c r="E180" s="4">
        <f t="shared" si="2"/>
        <v>92.1</v>
      </c>
    </row>
    <row r="181" spans="1:5" x14ac:dyDescent="0.35">
      <c r="A181" s="16">
        <v>66.5</v>
      </c>
      <c r="B181" s="17" t="s">
        <v>22</v>
      </c>
      <c r="C181" s="18">
        <v>73.7</v>
      </c>
      <c r="E181" s="4">
        <f t="shared" si="2"/>
        <v>70.099999999999994</v>
      </c>
    </row>
    <row r="182" spans="1:5" x14ac:dyDescent="0.35">
      <c r="A182" s="13">
        <v>82.9</v>
      </c>
      <c r="B182" s="14" t="s">
        <v>22</v>
      </c>
      <c r="C182" s="15">
        <v>77.099999999999994</v>
      </c>
      <c r="E182" s="4">
        <f t="shared" si="2"/>
        <v>80</v>
      </c>
    </row>
    <row r="183" spans="1:5" x14ac:dyDescent="0.35">
      <c r="A183" s="16">
        <v>87.1</v>
      </c>
      <c r="B183" s="17" t="s">
        <v>22</v>
      </c>
      <c r="C183" s="18">
        <v>76.5</v>
      </c>
      <c r="E183" s="4">
        <f t="shared" si="2"/>
        <v>81.8</v>
      </c>
    </row>
    <row r="184" spans="1:5" x14ac:dyDescent="0.35">
      <c r="A184" s="13">
        <v>87.2</v>
      </c>
      <c r="B184" s="14" t="s">
        <v>22</v>
      </c>
      <c r="C184" s="15">
        <v>73.2</v>
      </c>
      <c r="E184" s="4">
        <f t="shared" si="2"/>
        <v>80.2</v>
      </c>
    </row>
    <row r="185" spans="1:5" x14ac:dyDescent="0.35">
      <c r="A185" s="16">
        <v>73.400000000000006</v>
      </c>
      <c r="B185" s="17" t="s">
        <v>20</v>
      </c>
      <c r="C185" s="18">
        <v>83.6</v>
      </c>
      <c r="E185" s="4">
        <f t="shared" si="2"/>
        <v>78.5</v>
      </c>
    </row>
    <row r="186" spans="1:5" x14ac:dyDescent="0.35">
      <c r="A186" s="13">
        <v>46.4</v>
      </c>
      <c r="B186" s="14" t="s">
        <v>20</v>
      </c>
      <c r="C186" s="15">
        <v>85.8</v>
      </c>
      <c r="E186" s="4">
        <f t="shared" si="2"/>
        <v>66.099999999999994</v>
      </c>
    </row>
    <row r="187" spans="1:5" x14ac:dyDescent="0.35">
      <c r="A187" s="16">
        <v>75.5</v>
      </c>
      <c r="B187" s="17" t="s">
        <v>16</v>
      </c>
      <c r="C187" s="18">
        <v>95.7</v>
      </c>
      <c r="E187" s="4">
        <f t="shared" si="2"/>
        <v>85.6</v>
      </c>
    </row>
    <row r="188" spans="1:5" x14ac:dyDescent="0.35">
      <c r="A188" s="13">
        <v>82.6</v>
      </c>
      <c r="B188" s="14" t="s">
        <v>20</v>
      </c>
      <c r="C188" s="15">
        <v>89.2</v>
      </c>
      <c r="E188" s="4">
        <f t="shared" si="2"/>
        <v>85.9</v>
      </c>
    </row>
    <row r="189" spans="1:5" x14ac:dyDescent="0.35">
      <c r="A189" s="16">
        <v>69</v>
      </c>
      <c r="B189" s="17" t="s">
        <v>20</v>
      </c>
      <c r="C189" s="18">
        <v>83.1</v>
      </c>
      <c r="E189" s="4">
        <f t="shared" si="2"/>
        <v>76.05</v>
      </c>
    </row>
    <row r="190" spans="1:5" x14ac:dyDescent="0.35">
      <c r="A190" s="13">
        <v>90.9</v>
      </c>
      <c r="B190" s="14" t="s">
        <v>16</v>
      </c>
      <c r="C190" s="15">
        <v>100</v>
      </c>
      <c r="E190" s="4">
        <f t="shared" si="2"/>
        <v>95.45</v>
      </c>
    </row>
    <row r="191" spans="1:5" x14ac:dyDescent="0.35">
      <c r="A191" s="16">
        <v>80.3</v>
      </c>
      <c r="B191" s="17" t="s">
        <v>21</v>
      </c>
      <c r="C191" s="18">
        <v>67.2</v>
      </c>
      <c r="E191" s="4">
        <f t="shared" si="2"/>
        <v>73.75</v>
      </c>
    </row>
    <row r="192" spans="1:5" x14ac:dyDescent="0.35">
      <c r="A192" s="13">
        <v>76.8</v>
      </c>
      <c r="B192" s="14" t="s">
        <v>20</v>
      </c>
      <c r="C192" s="15">
        <v>84.6</v>
      </c>
      <c r="E192" s="4">
        <f t="shared" si="2"/>
        <v>80.699999999999989</v>
      </c>
    </row>
    <row r="193" spans="1:5" x14ac:dyDescent="0.35">
      <c r="A193" s="16">
        <v>83</v>
      </c>
      <c r="B193" s="17" t="s">
        <v>16</v>
      </c>
      <c r="C193" s="18">
        <v>100</v>
      </c>
      <c r="E193" s="4">
        <f t="shared" si="2"/>
        <v>91.5</v>
      </c>
    </row>
    <row r="194" spans="1:5" x14ac:dyDescent="0.35">
      <c r="A194" s="13">
        <v>74</v>
      </c>
      <c r="B194" s="14" t="s">
        <v>22</v>
      </c>
      <c r="C194" s="15">
        <v>75.2</v>
      </c>
      <c r="E194" s="4">
        <f t="shared" si="2"/>
        <v>74.599999999999994</v>
      </c>
    </row>
    <row r="195" spans="1:5" x14ac:dyDescent="0.35">
      <c r="A195" s="16">
        <v>40.1</v>
      </c>
      <c r="B195" s="17" t="s">
        <v>20</v>
      </c>
      <c r="C195" s="18">
        <v>81.099999999999994</v>
      </c>
      <c r="E195" s="4">
        <f t="shared" ref="E195:E258" si="3">(A195+C195)/2</f>
        <v>60.599999999999994</v>
      </c>
    </row>
    <row r="196" spans="1:5" x14ac:dyDescent="0.35">
      <c r="A196" s="13">
        <v>64</v>
      </c>
      <c r="B196" s="14" t="s">
        <v>16</v>
      </c>
      <c r="C196" s="15">
        <v>96.5</v>
      </c>
      <c r="E196" s="4">
        <f t="shared" si="3"/>
        <v>80.25</v>
      </c>
    </row>
    <row r="197" spans="1:5" x14ac:dyDescent="0.35">
      <c r="A197" s="16">
        <v>84.4</v>
      </c>
      <c r="B197" s="17" t="s">
        <v>22</v>
      </c>
      <c r="C197" s="18">
        <v>79.8</v>
      </c>
      <c r="E197" s="4">
        <f t="shared" si="3"/>
        <v>82.1</v>
      </c>
    </row>
    <row r="198" spans="1:5" x14ac:dyDescent="0.35">
      <c r="A198" s="13">
        <v>60.3</v>
      </c>
      <c r="B198" s="14" t="s">
        <v>22</v>
      </c>
      <c r="C198" s="15">
        <v>73.400000000000006</v>
      </c>
      <c r="E198" s="4">
        <f t="shared" si="3"/>
        <v>66.849999999999994</v>
      </c>
    </row>
    <row r="199" spans="1:5" x14ac:dyDescent="0.35">
      <c r="A199" s="16">
        <v>67.3</v>
      </c>
      <c r="B199" s="17" t="s">
        <v>16</v>
      </c>
      <c r="C199" s="18">
        <v>92.2</v>
      </c>
      <c r="E199" s="4">
        <f t="shared" si="3"/>
        <v>79.75</v>
      </c>
    </row>
    <row r="200" spans="1:5" x14ac:dyDescent="0.35">
      <c r="A200" s="13">
        <v>57.5</v>
      </c>
      <c r="B200" s="14" t="s">
        <v>20</v>
      </c>
      <c r="C200" s="15">
        <v>87.3</v>
      </c>
      <c r="E200" s="4">
        <f t="shared" si="3"/>
        <v>72.400000000000006</v>
      </c>
    </row>
    <row r="201" spans="1:5" x14ac:dyDescent="0.35">
      <c r="A201" s="16">
        <v>91.4</v>
      </c>
      <c r="B201" s="17" t="s">
        <v>16</v>
      </c>
      <c r="C201" s="18">
        <v>92.5</v>
      </c>
      <c r="E201" s="4">
        <f t="shared" si="3"/>
        <v>91.95</v>
      </c>
    </row>
    <row r="202" spans="1:5" x14ac:dyDescent="0.35">
      <c r="A202" s="13">
        <v>90.2</v>
      </c>
      <c r="B202" s="14" t="s">
        <v>16</v>
      </c>
      <c r="C202" s="15">
        <v>94.6</v>
      </c>
      <c r="E202" s="4">
        <f t="shared" si="3"/>
        <v>92.4</v>
      </c>
    </row>
    <row r="203" spans="1:5" x14ac:dyDescent="0.35">
      <c r="A203" s="16">
        <v>59.4</v>
      </c>
      <c r="B203" s="17" t="s">
        <v>22</v>
      </c>
      <c r="C203" s="18">
        <v>75.5</v>
      </c>
      <c r="E203" s="4">
        <f t="shared" si="3"/>
        <v>67.45</v>
      </c>
    </row>
    <row r="204" spans="1:5" x14ac:dyDescent="0.35">
      <c r="A204" s="13">
        <v>71.8</v>
      </c>
      <c r="B204" s="14" t="s">
        <v>20</v>
      </c>
      <c r="C204" s="15">
        <v>85.3</v>
      </c>
      <c r="E204" s="4">
        <f t="shared" si="3"/>
        <v>78.55</v>
      </c>
    </row>
    <row r="205" spans="1:5" x14ac:dyDescent="0.35">
      <c r="A205" s="16">
        <v>61.8</v>
      </c>
      <c r="B205" s="17" t="s">
        <v>22</v>
      </c>
      <c r="C205" s="18">
        <v>76.7</v>
      </c>
      <c r="E205" s="4">
        <f t="shared" si="3"/>
        <v>69.25</v>
      </c>
    </row>
    <row r="206" spans="1:5" x14ac:dyDescent="0.35">
      <c r="A206" s="13">
        <v>77.400000000000006</v>
      </c>
      <c r="B206" s="14" t="s">
        <v>20</v>
      </c>
      <c r="C206" s="15">
        <v>86.8</v>
      </c>
      <c r="E206" s="4">
        <f t="shared" si="3"/>
        <v>82.1</v>
      </c>
    </row>
    <row r="207" spans="1:5" x14ac:dyDescent="0.35">
      <c r="A207" s="16">
        <v>76.099999999999994</v>
      </c>
      <c r="B207" s="17" t="s">
        <v>21</v>
      </c>
      <c r="C207" s="18">
        <v>61.1</v>
      </c>
      <c r="E207" s="4">
        <f t="shared" si="3"/>
        <v>68.599999999999994</v>
      </c>
    </row>
    <row r="208" spans="1:5" x14ac:dyDescent="0.35">
      <c r="A208" s="13">
        <v>79.7</v>
      </c>
      <c r="B208" s="14" t="s">
        <v>16</v>
      </c>
      <c r="C208" s="15">
        <v>100</v>
      </c>
      <c r="E208" s="4">
        <f t="shared" si="3"/>
        <v>89.85</v>
      </c>
    </row>
    <row r="209" spans="1:5" x14ac:dyDescent="0.35">
      <c r="A209" s="16">
        <v>74</v>
      </c>
      <c r="B209" s="17" t="s">
        <v>16</v>
      </c>
      <c r="C209" s="18">
        <v>90.9</v>
      </c>
      <c r="E209" s="4">
        <f t="shared" si="3"/>
        <v>82.45</v>
      </c>
    </row>
    <row r="210" spans="1:5" x14ac:dyDescent="0.35">
      <c r="A210" s="13">
        <v>100</v>
      </c>
      <c r="B210" s="14" t="s">
        <v>16</v>
      </c>
      <c r="C210" s="15">
        <v>96.1</v>
      </c>
      <c r="E210" s="4">
        <f t="shared" si="3"/>
        <v>98.05</v>
      </c>
    </row>
    <row r="211" spans="1:5" x14ac:dyDescent="0.35">
      <c r="A211" s="16">
        <v>57.7</v>
      </c>
      <c r="B211" s="17" t="s">
        <v>22</v>
      </c>
      <c r="C211" s="18">
        <v>73.099999999999994</v>
      </c>
      <c r="E211" s="4">
        <f t="shared" si="3"/>
        <v>65.400000000000006</v>
      </c>
    </row>
    <row r="212" spans="1:5" x14ac:dyDescent="0.35">
      <c r="A212" s="13">
        <v>49.5</v>
      </c>
      <c r="B212" s="14" t="s">
        <v>20</v>
      </c>
      <c r="C212" s="15">
        <v>81.2</v>
      </c>
      <c r="E212" s="4">
        <f t="shared" si="3"/>
        <v>65.349999999999994</v>
      </c>
    </row>
    <row r="213" spans="1:5" x14ac:dyDescent="0.35">
      <c r="A213" s="16">
        <v>65.3</v>
      </c>
      <c r="B213" s="17" t="s">
        <v>20</v>
      </c>
      <c r="C213" s="18">
        <v>81.8</v>
      </c>
      <c r="E213" s="4">
        <f t="shared" si="3"/>
        <v>73.55</v>
      </c>
    </row>
    <row r="214" spans="1:5" x14ac:dyDescent="0.35">
      <c r="A214" s="13">
        <v>51.2</v>
      </c>
      <c r="B214" s="14" t="s">
        <v>22</v>
      </c>
      <c r="C214" s="15">
        <v>70</v>
      </c>
      <c r="E214" s="4">
        <f t="shared" si="3"/>
        <v>60.6</v>
      </c>
    </row>
    <row r="215" spans="1:5" x14ac:dyDescent="0.35">
      <c r="A215" s="16">
        <v>52.1</v>
      </c>
      <c r="B215" s="17" t="s">
        <v>22</v>
      </c>
      <c r="C215" s="18">
        <v>78.5</v>
      </c>
      <c r="E215" s="4">
        <f t="shared" si="3"/>
        <v>65.3</v>
      </c>
    </row>
    <row r="216" spans="1:5" x14ac:dyDescent="0.35">
      <c r="A216" s="13">
        <v>58</v>
      </c>
      <c r="B216" s="14" t="s">
        <v>20</v>
      </c>
      <c r="C216" s="15">
        <v>84.7</v>
      </c>
      <c r="E216" s="4">
        <f t="shared" si="3"/>
        <v>71.349999999999994</v>
      </c>
    </row>
    <row r="217" spans="1:5" x14ac:dyDescent="0.35">
      <c r="A217" s="16">
        <v>58.9</v>
      </c>
      <c r="B217" s="17" t="s">
        <v>22</v>
      </c>
      <c r="C217" s="18">
        <v>74.7</v>
      </c>
      <c r="E217" s="4">
        <f t="shared" si="3"/>
        <v>66.8</v>
      </c>
    </row>
    <row r="218" spans="1:5" x14ac:dyDescent="0.35">
      <c r="A218" s="13">
        <v>58.5</v>
      </c>
      <c r="B218" s="14" t="s">
        <v>16</v>
      </c>
      <c r="C218" s="15">
        <v>91.2</v>
      </c>
      <c r="E218" s="4">
        <f t="shared" si="3"/>
        <v>74.849999999999994</v>
      </c>
    </row>
    <row r="219" spans="1:5" x14ac:dyDescent="0.35">
      <c r="A219" s="16">
        <v>76.2</v>
      </c>
      <c r="B219" s="17" t="s">
        <v>16</v>
      </c>
      <c r="C219" s="18">
        <v>93.4</v>
      </c>
      <c r="E219" s="4">
        <f t="shared" si="3"/>
        <v>84.800000000000011</v>
      </c>
    </row>
    <row r="220" spans="1:5" x14ac:dyDescent="0.35">
      <c r="A220" s="13">
        <v>63.9</v>
      </c>
      <c r="B220" s="14" t="s">
        <v>20</v>
      </c>
      <c r="C220" s="15">
        <v>86.8</v>
      </c>
      <c r="E220" s="4">
        <f t="shared" si="3"/>
        <v>75.349999999999994</v>
      </c>
    </row>
    <row r="221" spans="1:5" x14ac:dyDescent="0.35">
      <c r="A221" s="16">
        <v>67.8</v>
      </c>
      <c r="B221" s="17" t="s">
        <v>16</v>
      </c>
      <c r="C221" s="18">
        <v>100</v>
      </c>
      <c r="E221" s="4">
        <f t="shared" si="3"/>
        <v>83.9</v>
      </c>
    </row>
    <row r="222" spans="1:5" x14ac:dyDescent="0.35">
      <c r="A222" s="13">
        <v>80.7</v>
      </c>
      <c r="B222" s="14" t="s">
        <v>20</v>
      </c>
      <c r="C222" s="15">
        <v>84.3</v>
      </c>
      <c r="E222" s="4">
        <f t="shared" si="3"/>
        <v>82.5</v>
      </c>
    </row>
    <row r="223" spans="1:5" x14ac:dyDescent="0.35">
      <c r="A223" s="16">
        <v>60.8</v>
      </c>
      <c r="B223" s="17" t="s">
        <v>22</v>
      </c>
      <c r="C223" s="18">
        <v>71.5</v>
      </c>
      <c r="E223" s="4">
        <f t="shared" si="3"/>
        <v>66.150000000000006</v>
      </c>
    </row>
    <row r="224" spans="1:5" x14ac:dyDescent="0.35">
      <c r="A224" s="13">
        <v>66.8</v>
      </c>
      <c r="B224" s="14" t="s">
        <v>22</v>
      </c>
      <c r="C224" s="15">
        <v>70.5</v>
      </c>
      <c r="E224" s="4">
        <f t="shared" si="3"/>
        <v>68.650000000000006</v>
      </c>
    </row>
    <row r="225" spans="1:5" x14ac:dyDescent="0.35">
      <c r="A225" s="16">
        <v>74.400000000000006</v>
      </c>
      <c r="B225" s="17" t="s">
        <v>20</v>
      </c>
      <c r="C225" s="18">
        <v>89.9</v>
      </c>
      <c r="E225" s="4">
        <f t="shared" si="3"/>
        <v>82.15</v>
      </c>
    </row>
    <row r="226" spans="1:5" x14ac:dyDescent="0.35">
      <c r="A226" s="13">
        <v>46.7</v>
      </c>
      <c r="B226" s="14" t="s">
        <v>20</v>
      </c>
      <c r="C226" s="15">
        <v>81.099999999999994</v>
      </c>
      <c r="E226" s="4">
        <f t="shared" si="3"/>
        <v>63.9</v>
      </c>
    </row>
    <row r="227" spans="1:5" x14ac:dyDescent="0.35">
      <c r="A227" s="16">
        <v>41.4</v>
      </c>
      <c r="B227" s="17" t="s">
        <v>21</v>
      </c>
      <c r="C227" s="18">
        <v>67.400000000000006</v>
      </c>
      <c r="E227" s="4">
        <f t="shared" si="3"/>
        <v>54.400000000000006</v>
      </c>
    </row>
    <row r="228" spans="1:5" x14ac:dyDescent="0.35">
      <c r="A228" s="13">
        <v>74.2</v>
      </c>
      <c r="B228" s="14" t="s">
        <v>20</v>
      </c>
      <c r="C228" s="15">
        <v>82.2</v>
      </c>
      <c r="E228" s="4">
        <f t="shared" si="3"/>
        <v>78.2</v>
      </c>
    </row>
    <row r="229" spans="1:5" x14ac:dyDescent="0.35">
      <c r="A229" s="16">
        <v>75.900000000000006</v>
      </c>
      <c r="B229" s="17" t="s">
        <v>16</v>
      </c>
      <c r="C229" s="18">
        <v>90</v>
      </c>
      <c r="E229" s="4">
        <f t="shared" si="3"/>
        <v>82.95</v>
      </c>
    </row>
    <row r="230" spans="1:5" x14ac:dyDescent="0.35">
      <c r="A230" s="13">
        <v>94.8</v>
      </c>
      <c r="B230" s="14" t="s">
        <v>16</v>
      </c>
      <c r="C230" s="15">
        <v>100</v>
      </c>
      <c r="E230" s="4">
        <f t="shared" si="3"/>
        <v>97.4</v>
      </c>
    </row>
    <row r="231" spans="1:5" x14ac:dyDescent="0.35">
      <c r="A231" s="16">
        <v>71.900000000000006</v>
      </c>
      <c r="B231" s="17" t="s">
        <v>20</v>
      </c>
      <c r="C231" s="18">
        <v>82.7</v>
      </c>
      <c r="E231" s="4">
        <f t="shared" si="3"/>
        <v>77.300000000000011</v>
      </c>
    </row>
    <row r="232" spans="1:5" x14ac:dyDescent="0.35">
      <c r="A232" s="13">
        <v>79.8</v>
      </c>
      <c r="B232" s="14" t="s">
        <v>16</v>
      </c>
      <c r="C232" s="15">
        <v>98.3</v>
      </c>
      <c r="E232" s="4">
        <f t="shared" si="3"/>
        <v>89.05</v>
      </c>
    </row>
    <row r="233" spans="1:5" x14ac:dyDescent="0.35">
      <c r="A233" s="16">
        <v>67.7</v>
      </c>
      <c r="B233" s="17" t="s">
        <v>16</v>
      </c>
      <c r="C233" s="18">
        <v>91.5</v>
      </c>
      <c r="E233" s="4">
        <f t="shared" si="3"/>
        <v>79.599999999999994</v>
      </c>
    </row>
    <row r="234" spans="1:5" x14ac:dyDescent="0.35">
      <c r="A234" s="13">
        <v>73.599999999999994</v>
      </c>
      <c r="B234" s="14" t="s">
        <v>20</v>
      </c>
      <c r="C234" s="15">
        <v>82.2</v>
      </c>
      <c r="E234" s="4">
        <f t="shared" si="3"/>
        <v>77.900000000000006</v>
      </c>
    </row>
    <row r="235" spans="1:5" x14ac:dyDescent="0.35">
      <c r="A235" s="16">
        <v>90</v>
      </c>
      <c r="B235" s="17" t="s">
        <v>16</v>
      </c>
      <c r="C235" s="18">
        <v>100</v>
      </c>
      <c r="E235" s="4">
        <f t="shared" si="3"/>
        <v>95</v>
      </c>
    </row>
    <row r="236" spans="1:5" x14ac:dyDescent="0.35">
      <c r="A236" s="13">
        <v>44.5</v>
      </c>
      <c r="B236" s="14" t="s">
        <v>20</v>
      </c>
      <c r="C236" s="15">
        <v>80.2</v>
      </c>
      <c r="E236" s="4">
        <f t="shared" si="3"/>
        <v>62.35</v>
      </c>
    </row>
    <row r="237" spans="1:5" x14ac:dyDescent="0.35">
      <c r="A237" s="16">
        <v>75</v>
      </c>
      <c r="B237" s="17" t="s">
        <v>20</v>
      </c>
      <c r="C237" s="18">
        <v>85.7</v>
      </c>
      <c r="E237" s="4">
        <f t="shared" si="3"/>
        <v>80.349999999999994</v>
      </c>
    </row>
    <row r="238" spans="1:5" x14ac:dyDescent="0.35">
      <c r="A238" s="13">
        <v>95.6</v>
      </c>
      <c r="B238" s="14" t="s">
        <v>16</v>
      </c>
      <c r="C238" s="15">
        <v>100</v>
      </c>
      <c r="E238" s="4">
        <f t="shared" si="3"/>
        <v>97.8</v>
      </c>
    </row>
    <row r="239" spans="1:5" x14ac:dyDescent="0.35">
      <c r="A239" s="16">
        <v>73.400000000000006</v>
      </c>
      <c r="B239" s="17" t="s">
        <v>20</v>
      </c>
      <c r="C239" s="18">
        <v>84.4</v>
      </c>
      <c r="E239" s="4">
        <f t="shared" si="3"/>
        <v>78.900000000000006</v>
      </c>
    </row>
    <row r="240" spans="1:5" x14ac:dyDescent="0.35">
      <c r="A240" s="13">
        <v>89.8</v>
      </c>
      <c r="B240" s="14" t="s">
        <v>16</v>
      </c>
      <c r="C240" s="15">
        <v>100</v>
      </c>
      <c r="E240" s="4">
        <f t="shared" si="3"/>
        <v>94.9</v>
      </c>
    </row>
    <row r="241" spans="1:5" x14ac:dyDescent="0.35">
      <c r="A241" s="16">
        <v>62.4</v>
      </c>
      <c r="B241" s="17" t="s">
        <v>20</v>
      </c>
      <c r="C241" s="18">
        <v>84.6</v>
      </c>
      <c r="E241" s="4">
        <f t="shared" si="3"/>
        <v>73.5</v>
      </c>
    </row>
    <row r="242" spans="1:5" x14ac:dyDescent="0.35">
      <c r="A242" s="13">
        <v>69.599999999999994</v>
      </c>
      <c r="B242" s="14" t="s">
        <v>20</v>
      </c>
      <c r="C242" s="15">
        <v>80.599999999999994</v>
      </c>
      <c r="E242" s="4">
        <f t="shared" si="3"/>
        <v>75.099999999999994</v>
      </c>
    </row>
    <row r="243" spans="1:5" x14ac:dyDescent="0.35">
      <c r="A243" s="16">
        <v>70.400000000000006</v>
      </c>
      <c r="B243" s="17" t="s">
        <v>20</v>
      </c>
      <c r="C243" s="18">
        <v>85.1</v>
      </c>
      <c r="E243" s="4">
        <f t="shared" si="3"/>
        <v>77.75</v>
      </c>
    </row>
    <row r="244" spans="1:5" x14ac:dyDescent="0.35">
      <c r="A244" s="13">
        <v>43.4</v>
      </c>
      <c r="B244" s="14" t="s">
        <v>21</v>
      </c>
      <c r="C244" s="15">
        <v>69.400000000000006</v>
      </c>
      <c r="E244" s="4">
        <f t="shared" si="3"/>
        <v>56.400000000000006</v>
      </c>
    </row>
    <row r="245" spans="1:5" x14ac:dyDescent="0.35">
      <c r="A245" s="16">
        <v>56</v>
      </c>
      <c r="B245" s="17" t="s">
        <v>16</v>
      </c>
      <c r="C245" s="18">
        <v>92.2</v>
      </c>
      <c r="E245" s="4">
        <f t="shared" si="3"/>
        <v>74.099999999999994</v>
      </c>
    </row>
    <row r="246" spans="1:5" x14ac:dyDescent="0.35">
      <c r="A246" s="13">
        <v>56.8</v>
      </c>
      <c r="B246" s="14" t="s">
        <v>22</v>
      </c>
      <c r="C246" s="15">
        <v>76.2</v>
      </c>
      <c r="E246" s="4">
        <f t="shared" si="3"/>
        <v>66.5</v>
      </c>
    </row>
    <row r="247" spans="1:5" x14ac:dyDescent="0.35">
      <c r="A247" s="16">
        <v>79.900000000000006</v>
      </c>
      <c r="B247" s="17" t="s">
        <v>16</v>
      </c>
      <c r="C247" s="18">
        <v>100</v>
      </c>
      <c r="E247" s="4">
        <f t="shared" si="3"/>
        <v>89.95</v>
      </c>
    </row>
    <row r="248" spans="1:5" x14ac:dyDescent="0.35">
      <c r="A248" s="13">
        <v>80.5</v>
      </c>
      <c r="B248" s="14" t="s">
        <v>16</v>
      </c>
      <c r="C248" s="15">
        <v>92.2</v>
      </c>
      <c r="E248" s="4">
        <f t="shared" si="3"/>
        <v>86.35</v>
      </c>
    </row>
    <row r="249" spans="1:5" x14ac:dyDescent="0.35">
      <c r="A249" s="16">
        <v>73.900000000000006</v>
      </c>
      <c r="B249" s="17" t="s">
        <v>22</v>
      </c>
      <c r="C249" s="18">
        <v>76.5</v>
      </c>
      <c r="E249" s="4">
        <f t="shared" si="3"/>
        <v>75.2</v>
      </c>
    </row>
    <row r="250" spans="1:5" x14ac:dyDescent="0.35">
      <c r="A250" s="13">
        <v>79.900000000000006</v>
      </c>
      <c r="B250" s="14" t="s">
        <v>20</v>
      </c>
      <c r="C250" s="15">
        <v>82.7</v>
      </c>
      <c r="E250" s="4">
        <f t="shared" si="3"/>
        <v>81.300000000000011</v>
      </c>
    </row>
    <row r="251" spans="1:5" x14ac:dyDescent="0.35">
      <c r="A251" s="16">
        <v>68</v>
      </c>
      <c r="B251" s="17" t="s">
        <v>21</v>
      </c>
      <c r="C251" s="18">
        <v>67.099999999999994</v>
      </c>
      <c r="E251" s="4">
        <f t="shared" si="3"/>
        <v>67.55</v>
      </c>
    </row>
    <row r="252" spans="1:5" x14ac:dyDescent="0.35">
      <c r="A252" s="13">
        <v>84.4</v>
      </c>
      <c r="B252" s="14" t="s">
        <v>20</v>
      </c>
      <c r="C252" s="15">
        <v>88.4</v>
      </c>
      <c r="E252" s="4">
        <f t="shared" si="3"/>
        <v>86.4</v>
      </c>
    </row>
    <row r="253" spans="1:5" x14ac:dyDescent="0.35">
      <c r="A253" s="16">
        <v>70.099999999999994</v>
      </c>
      <c r="B253" s="17" t="s">
        <v>16</v>
      </c>
      <c r="C253" s="18">
        <v>91</v>
      </c>
      <c r="E253" s="4">
        <f t="shared" si="3"/>
        <v>80.55</v>
      </c>
    </row>
    <row r="254" spans="1:5" x14ac:dyDescent="0.35">
      <c r="A254" s="13">
        <v>70.7</v>
      </c>
      <c r="B254" s="14" t="s">
        <v>22</v>
      </c>
      <c r="C254" s="15">
        <v>75.8</v>
      </c>
      <c r="E254" s="4">
        <f t="shared" si="3"/>
        <v>73.25</v>
      </c>
    </row>
    <row r="255" spans="1:5" x14ac:dyDescent="0.35">
      <c r="A255" s="16">
        <v>66.8</v>
      </c>
      <c r="B255" s="17" t="s">
        <v>20</v>
      </c>
      <c r="C255" s="18">
        <v>88.3</v>
      </c>
      <c r="E255" s="4">
        <f t="shared" si="3"/>
        <v>77.55</v>
      </c>
    </row>
    <row r="256" spans="1:5" x14ac:dyDescent="0.35">
      <c r="A256" s="13">
        <v>78.2</v>
      </c>
      <c r="B256" s="14" t="s">
        <v>20</v>
      </c>
      <c r="C256" s="15">
        <v>87.6</v>
      </c>
      <c r="E256" s="4">
        <f t="shared" si="3"/>
        <v>82.9</v>
      </c>
    </row>
    <row r="257" spans="1:5" x14ac:dyDescent="0.35">
      <c r="A257" s="16">
        <v>64.900000000000006</v>
      </c>
      <c r="B257" s="17" t="s">
        <v>16</v>
      </c>
      <c r="C257" s="18">
        <v>96.8</v>
      </c>
      <c r="E257" s="4">
        <f t="shared" si="3"/>
        <v>80.849999999999994</v>
      </c>
    </row>
    <row r="258" spans="1:5" x14ac:dyDescent="0.35">
      <c r="A258" s="13">
        <v>81.7</v>
      </c>
      <c r="B258" s="14" t="s">
        <v>20</v>
      </c>
      <c r="C258" s="15">
        <v>86.7</v>
      </c>
      <c r="E258" s="4">
        <f t="shared" si="3"/>
        <v>84.2</v>
      </c>
    </row>
    <row r="259" spans="1:5" x14ac:dyDescent="0.35">
      <c r="A259" s="16">
        <v>56.4</v>
      </c>
      <c r="B259" s="17" t="s">
        <v>21</v>
      </c>
      <c r="C259" s="18">
        <v>63.7</v>
      </c>
      <c r="E259" s="4">
        <f t="shared" ref="E259:E322" si="4">(A259+C259)/2</f>
        <v>60.05</v>
      </c>
    </row>
    <row r="260" spans="1:5" x14ac:dyDescent="0.35">
      <c r="A260" s="13">
        <v>56.8</v>
      </c>
      <c r="B260" s="14" t="s">
        <v>22</v>
      </c>
      <c r="C260" s="15">
        <v>73</v>
      </c>
      <c r="E260" s="4">
        <f t="shared" si="4"/>
        <v>64.900000000000006</v>
      </c>
    </row>
    <row r="261" spans="1:5" x14ac:dyDescent="0.35">
      <c r="A261" s="16">
        <v>78.2</v>
      </c>
      <c r="B261" s="17" t="s">
        <v>16</v>
      </c>
      <c r="C261" s="18">
        <v>94.3</v>
      </c>
      <c r="E261" s="4">
        <f t="shared" si="4"/>
        <v>86.25</v>
      </c>
    </row>
    <row r="262" spans="1:5" x14ac:dyDescent="0.35">
      <c r="A262" s="13">
        <v>68.900000000000006</v>
      </c>
      <c r="B262" s="14" t="s">
        <v>22</v>
      </c>
      <c r="C262" s="15">
        <v>71.3</v>
      </c>
      <c r="E262" s="4">
        <f t="shared" si="4"/>
        <v>70.099999999999994</v>
      </c>
    </row>
    <row r="263" spans="1:5" x14ac:dyDescent="0.35">
      <c r="A263" s="16">
        <v>64.599999999999994</v>
      </c>
      <c r="B263" s="17" t="s">
        <v>22</v>
      </c>
      <c r="C263" s="18">
        <v>79.7</v>
      </c>
      <c r="E263" s="4">
        <f t="shared" si="4"/>
        <v>72.150000000000006</v>
      </c>
    </row>
    <row r="264" spans="1:5" x14ac:dyDescent="0.35">
      <c r="A264" s="13">
        <v>80.7</v>
      </c>
      <c r="B264" s="14" t="s">
        <v>20</v>
      </c>
      <c r="C264" s="15">
        <v>81.2</v>
      </c>
      <c r="E264" s="4">
        <f t="shared" si="4"/>
        <v>80.95</v>
      </c>
    </row>
    <row r="265" spans="1:5" x14ac:dyDescent="0.35">
      <c r="A265" s="16">
        <v>62.7</v>
      </c>
      <c r="B265" s="17" t="s">
        <v>16</v>
      </c>
      <c r="C265" s="18">
        <v>91.1</v>
      </c>
      <c r="E265" s="4">
        <f t="shared" si="4"/>
        <v>76.900000000000006</v>
      </c>
    </row>
    <row r="266" spans="1:5" x14ac:dyDescent="0.35">
      <c r="A266" s="13">
        <v>67.599999999999994</v>
      </c>
      <c r="B266" s="14" t="s">
        <v>16</v>
      </c>
      <c r="C266" s="15">
        <v>97.5</v>
      </c>
      <c r="E266" s="4">
        <f t="shared" si="4"/>
        <v>82.55</v>
      </c>
    </row>
    <row r="267" spans="1:5" x14ac:dyDescent="0.35">
      <c r="A267" s="16">
        <v>86.8</v>
      </c>
      <c r="B267" s="17" t="s">
        <v>16</v>
      </c>
      <c r="C267" s="18">
        <v>100</v>
      </c>
      <c r="E267" s="4">
        <f t="shared" si="4"/>
        <v>93.4</v>
      </c>
    </row>
    <row r="268" spans="1:5" x14ac:dyDescent="0.35">
      <c r="A268" s="13">
        <v>88.5</v>
      </c>
      <c r="B268" s="14" t="s">
        <v>20</v>
      </c>
      <c r="C268" s="15">
        <v>81.599999999999994</v>
      </c>
      <c r="E268" s="4">
        <f t="shared" si="4"/>
        <v>85.05</v>
      </c>
    </row>
    <row r="269" spans="1:5" x14ac:dyDescent="0.35">
      <c r="A269" s="16">
        <v>88.9</v>
      </c>
      <c r="B269" s="17" t="s">
        <v>20</v>
      </c>
      <c r="C269" s="18">
        <v>83.9</v>
      </c>
      <c r="E269" s="4">
        <f t="shared" si="4"/>
        <v>86.4</v>
      </c>
    </row>
    <row r="270" spans="1:5" x14ac:dyDescent="0.35">
      <c r="A270" s="13">
        <v>66.599999999999994</v>
      </c>
      <c r="B270" s="14" t="s">
        <v>16</v>
      </c>
      <c r="C270" s="15">
        <v>100</v>
      </c>
      <c r="E270" s="4">
        <f t="shared" si="4"/>
        <v>83.3</v>
      </c>
    </row>
    <row r="271" spans="1:5" x14ac:dyDescent="0.35">
      <c r="A271" s="16">
        <v>84.8</v>
      </c>
      <c r="B271" s="17" t="s">
        <v>20</v>
      </c>
      <c r="C271" s="18">
        <v>80.2</v>
      </c>
      <c r="E271" s="4">
        <f t="shared" si="4"/>
        <v>82.5</v>
      </c>
    </row>
    <row r="272" spans="1:5" x14ac:dyDescent="0.35">
      <c r="A272" s="13">
        <v>58.6</v>
      </c>
      <c r="B272" s="14" t="s">
        <v>22</v>
      </c>
      <c r="C272" s="15">
        <v>75.099999999999994</v>
      </c>
      <c r="E272" s="4">
        <f t="shared" si="4"/>
        <v>66.849999999999994</v>
      </c>
    </row>
    <row r="273" spans="1:5" x14ac:dyDescent="0.35">
      <c r="A273" s="16">
        <v>59.1</v>
      </c>
      <c r="B273" s="17" t="s">
        <v>22</v>
      </c>
      <c r="C273" s="18">
        <v>78.2</v>
      </c>
      <c r="E273" s="4">
        <f t="shared" si="4"/>
        <v>68.650000000000006</v>
      </c>
    </row>
    <row r="274" spans="1:5" x14ac:dyDescent="0.35">
      <c r="A274" s="13">
        <v>41.8</v>
      </c>
      <c r="B274" s="14" t="s">
        <v>21</v>
      </c>
      <c r="C274" s="15">
        <v>64.7</v>
      </c>
      <c r="E274" s="4">
        <f t="shared" si="4"/>
        <v>53.25</v>
      </c>
    </row>
    <row r="275" spans="1:5" x14ac:dyDescent="0.35">
      <c r="A275" s="16">
        <v>90.1</v>
      </c>
      <c r="B275" s="17" t="s">
        <v>16</v>
      </c>
      <c r="C275" s="18">
        <v>97.8</v>
      </c>
      <c r="E275" s="4">
        <f t="shared" si="4"/>
        <v>93.949999999999989</v>
      </c>
    </row>
    <row r="276" spans="1:5" x14ac:dyDescent="0.35">
      <c r="A276" s="13">
        <v>59.6</v>
      </c>
      <c r="B276" s="14" t="s">
        <v>22</v>
      </c>
      <c r="C276" s="15">
        <v>74.400000000000006</v>
      </c>
      <c r="E276" s="4">
        <f t="shared" si="4"/>
        <v>67</v>
      </c>
    </row>
    <row r="277" spans="1:5" x14ac:dyDescent="0.35">
      <c r="A277" s="16">
        <v>68.5</v>
      </c>
      <c r="B277" s="17" t="s">
        <v>22</v>
      </c>
      <c r="C277" s="18">
        <v>76.400000000000006</v>
      </c>
      <c r="E277" s="4">
        <f t="shared" si="4"/>
        <v>72.45</v>
      </c>
    </row>
    <row r="278" spans="1:5" x14ac:dyDescent="0.35">
      <c r="A278" s="13">
        <v>59.1</v>
      </c>
      <c r="B278" s="14" t="s">
        <v>22</v>
      </c>
      <c r="C278" s="15">
        <v>76.3</v>
      </c>
      <c r="E278" s="4">
        <f t="shared" si="4"/>
        <v>67.7</v>
      </c>
    </row>
    <row r="279" spans="1:5" x14ac:dyDescent="0.35">
      <c r="A279" s="16">
        <v>78.3</v>
      </c>
      <c r="B279" s="17" t="s">
        <v>20</v>
      </c>
      <c r="C279" s="18">
        <v>88.3</v>
      </c>
      <c r="E279" s="4">
        <f t="shared" si="4"/>
        <v>83.3</v>
      </c>
    </row>
    <row r="280" spans="1:5" x14ac:dyDescent="0.35">
      <c r="A280" s="13">
        <v>65.5</v>
      </c>
      <c r="B280" s="14" t="s">
        <v>16</v>
      </c>
      <c r="C280" s="15">
        <v>94</v>
      </c>
      <c r="E280" s="4">
        <f t="shared" si="4"/>
        <v>79.75</v>
      </c>
    </row>
    <row r="281" spans="1:5" x14ac:dyDescent="0.35">
      <c r="A281" s="16">
        <v>54.3</v>
      </c>
      <c r="B281" s="17" t="s">
        <v>25</v>
      </c>
      <c r="C281" s="18">
        <v>58.8</v>
      </c>
      <c r="E281" s="4">
        <f t="shared" si="4"/>
        <v>56.55</v>
      </c>
    </row>
    <row r="282" spans="1:5" x14ac:dyDescent="0.35">
      <c r="A282" s="13">
        <v>75.3</v>
      </c>
      <c r="B282" s="14" t="s">
        <v>20</v>
      </c>
      <c r="C282" s="15">
        <v>81.099999999999994</v>
      </c>
      <c r="E282" s="4">
        <f t="shared" si="4"/>
        <v>78.199999999999989</v>
      </c>
    </row>
    <row r="283" spans="1:5" x14ac:dyDescent="0.35">
      <c r="A283" s="16">
        <v>52.8</v>
      </c>
      <c r="B283" s="17" t="s">
        <v>20</v>
      </c>
      <c r="C283" s="18">
        <v>84.5</v>
      </c>
      <c r="E283" s="4">
        <f t="shared" si="4"/>
        <v>68.650000000000006</v>
      </c>
    </row>
    <row r="284" spans="1:5" x14ac:dyDescent="0.35">
      <c r="A284" s="13">
        <v>60</v>
      </c>
      <c r="B284" s="14" t="s">
        <v>21</v>
      </c>
      <c r="C284" s="15">
        <v>69.900000000000006</v>
      </c>
      <c r="E284" s="4">
        <f t="shared" si="4"/>
        <v>64.95</v>
      </c>
    </row>
    <row r="285" spans="1:5" x14ac:dyDescent="0.35">
      <c r="A285" s="16">
        <v>44.7</v>
      </c>
      <c r="B285" s="17" t="s">
        <v>20</v>
      </c>
      <c r="C285" s="18">
        <v>82.2</v>
      </c>
      <c r="E285" s="4">
        <f t="shared" si="4"/>
        <v>63.45</v>
      </c>
    </row>
    <row r="286" spans="1:5" x14ac:dyDescent="0.35">
      <c r="A286" s="13">
        <v>52.9</v>
      </c>
      <c r="B286" s="14" t="s">
        <v>20</v>
      </c>
      <c r="C286" s="15">
        <v>83.3</v>
      </c>
      <c r="E286" s="4">
        <f t="shared" si="4"/>
        <v>68.099999999999994</v>
      </c>
    </row>
    <row r="287" spans="1:5" x14ac:dyDescent="0.35">
      <c r="A287" s="16">
        <v>72.099999999999994</v>
      </c>
      <c r="B287" s="17" t="s">
        <v>21</v>
      </c>
      <c r="C287" s="18">
        <v>69.5</v>
      </c>
      <c r="E287" s="4">
        <f t="shared" si="4"/>
        <v>70.8</v>
      </c>
    </row>
    <row r="288" spans="1:5" x14ac:dyDescent="0.35">
      <c r="A288" s="13">
        <v>46.4</v>
      </c>
      <c r="B288" s="14" t="s">
        <v>21</v>
      </c>
      <c r="C288" s="15">
        <v>68.5</v>
      </c>
      <c r="E288" s="4">
        <f t="shared" si="4"/>
        <v>57.45</v>
      </c>
    </row>
    <row r="289" spans="1:5" x14ac:dyDescent="0.35">
      <c r="A289" s="16">
        <v>52.2</v>
      </c>
      <c r="B289" s="17" t="s">
        <v>21</v>
      </c>
      <c r="C289" s="18">
        <v>61.5</v>
      </c>
      <c r="E289" s="4">
        <f t="shared" si="4"/>
        <v>56.85</v>
      </c>
    </row>
    <row r="290" spans="1:5" x14ac:dyDescent="0.35">
      <c r="A290" s="13">
        <v>70</v>
      </c>
      <c r="B290" s="14" t="s">
        <v>22</v>
      </c>
      <c r="C290" s="15">
        <v>72.3</v>
      </c>
      <c r="E290" s="4">
        <f t="shared" si="4"/>
        <v>71.150000000000006</v>
      </c>
    </row>
    <row r="291" spans="1:5" x14ac:dyDescent="0.35">
      <c r="A291" s="16">
        <v>63.5</v>
      </c>
      <c r="B291" s="17" t="s">
        <v>22</v>
      </c>
      <c r="C291" s="18">
        <v>74.099999999999994</v>
      </c>
      <c r="E291" s="4">
        <f t="shared" si="4"/>
        <v>68.8</v>
      </c>
    </row>
    <row r="292" spans="1:5" x14ac:dyDescent="0.35">
      <c r="A292" s="13">
        <v>93.9</v>
      </c>
      <c r="B292" s="14" t="s">
        <v>16</v>
      </c>
      <c r="C292" s="15">
        <v>94.9</v>
      </c>
      <c r="E292" s="4">
        <f t="shared" si="4"/>
        <v>94.4</v>
      </c>
    </row>
    <row r="293" spans="1:5" x14ac:dyDescent="0.35">
      <c r="A293" s="16">
        <v>92</v>
      </c>
      <c r="B293" s="17" t="s">
        <v>16</v>
      </c>
      <c r="C293" s="18">
        <v>100</v>
      </c>
      <c r="E293" s="4">
        <f t="shared" si="4"/>
        <v>96</v>
      </c>
    </row>
    <row r="294" spans="1:5" x14ac:dyDescent="0.35">
      <c r="A294" s="13">
        <v>59.6</v>
      </c>
      <c r="B294" s="14" t="s">
        <v>20</v>
      </c>
      <c r="C294" s="15">
        <v>84.5</v>
      </c>
      <c r="E294" s="4">
        <f t="shared" si="4"/>
        <v>72.05</v>
      </c>
    </row>
    <row r="295" spans="1:5" x14ac:dyDescent="0.35">
      <c r="A295" s="16">
        <v>76.7</v>
      </c>
      <c r="B295" s="17" t="s">
        <v>16</v>
      </c>
      <c r="C295" s="18">
        <v>93.7</v>
      </c>
      <c r="E295" s="4">
        <f t="shared" si="4"/>
        <v>85.2</v>
      </c>
    </row>
    <row r="296" spans="1:5" x14ac:dyDescent="0.35">
      <c r="A296" s="13">
        <v>79</v>
      </c>
      <c r="B296" s="14" t="s">
        <v>16</v>
      </c>
      <c r="C296" s="15">
        <v>100</v>
      </c>
      <c r="E296" s="4">
        <f t="shared" si="4"/>
        <v>89.5</v>
      </c>
    </row>
    <row r="297" spans="1:5" x14ac:dyDescent="0.35">
      <c r="A297" s="16">
        <v>62.8</v>
      </c>
      <c r="B297" s="17" t="s">
        <v>20</v>
      </c>
      <c r="C297" s="18">
        <v>81.599999999999994</v>
      </c>
      <c r="E297" s="4">
        <f t="shared" si="4"/>
        <v>72.199999999999989</v>
      </c>
    </row>
    <row r="298" spans="1:5" x14ac:dyDescent="0.35">
      <c r="A298" s="13">
        <v>52.1</v>
      </c>
      <c r="B298" s="14" t="s">
        <v>22</v>
      </c>
      <c r="C298" s="15">
        <v>70.900000000000006</v>
      </c>
      <c r="E298" s="4">
        <f t="shared" si="4"/>
        <v>61.5</v>
      </c>
    </row>
    <row r="299" spans="1:5" x14ac:dyDescent="0.35">
      <c r="A299" s="16">
        <v>69.900000000000006</v>
      </c>
      <c r="B299" s="17" t="s">
        <v>20</v>
      </c>
      <c r="C299" s="18">
        <v>89.6</v>
      </c>
      <c r="E299" s="4">
        <f t="shared" si="4"/>
        <v>79.75</v>
      </c>
    </row>
    <row r="300" spans="1:5" x14ac:dyDescent="0.35">
      <c r="A300" s="13">
        <v>67.900000000000006</v>
      </c>
      <c r="B300" s="14" t="s">
        <v>21</v>
      </c>
      <c r="C300" s="15">
        <v>69.2</v>
      </c>
      <c r="E300" s="4">
        <f t="shared" si="4"/>
        <v>68.550000000000011</v>
      </c>
    </row>
    <row r="301" spans="1:5" x14ac:dyDescent="0.35">
      <c r="A301" s="16">
        <v>64.8</v>
      </c>
      <c r="B301" s="17" t="s">
        <v>20</v>
      </c>
      <c r="C301" s="18">
        <v>82.3</v>
      </c>
      <c r="E301" s="4">
        <f t="shared" si="4"/>
        <v>73.55</v>
      </c>
    </row>
    <row r="302" spans="1:5" x14ac:dyDescent="0.35">
      <c r="A302" s="13">
        <v>75.3</v>
      </c>
      <c r="B302" s="14" t="s">
        <v>20</v>
      </c>
      <c r="C302" s="15">
        <v>80.900000000000006</v>
      </c>
      <c r="E302" s="4">
        <f t="shared" si="4"/>
        <v>78.099999999999994</v>
      </c>
    </row>
    <row r="303" spans="1:5" x14ac:dyDescent="0.35">
      <c r="A303" s="16">
        <v>61</v>
      </c>
      <c r="B303" s="17" t="s">
        <v>20</v>
      </c>
      <c r="C303" s="18">
        <v>82.4</v>
      </c>
      <c r="E303" s="4">
        <f t="shared" si="4"/>
        <v>71.7</v>
      </c>
    </row>
    <row r="304" spans="1:5" x14ac:dyDescent="0.35">
      <c r="A304" s="13">
        <v>56.2</v>
      </c>
      <c r="B304" s="14" t="s">
        <v>16</v>
      </c>
      <c r="C304" s="15">
        <v>91</v>
      </c>
      <c r="E304" s="4">
        <f t="shared" si="4"/>
        <v>73.599999999999994</v>
      </c>
    </row>
    <row r="305" spans="1:5" x14ac:dyDescent="0.35">
      <c r="A305" s="16">
        <v>71.3</v>
      </c>
      <c r="B305" s="17" t="s">
        <v>20</v>
      </c>
      <c r="C305" s="18">
        <v>81.599999999999994</v>
      </c>
      <c r="E305" s="4">
        <f t="shared" si="4"/>
        <v>76.449999999999989</v>
      </c>
    </row>
    <row r="306" spans="1:5" x14ac:dyDescent="0.35">
      <c r="A306" s="13">
        <v>74.599999999999994</v>
      </c>
      <c r="B306" s="14" t="s">
        <v>20</v>
      </c>
      <c r="C306" s="15">
        <v>83.2</v>
      </c>
      <c r="E306" s="4">
        <f t="shared" si="4"/>
        <v>78.900000000000006</v>
      </c>
    </row>
    <row r="307" spans="1:5" x14ac:dyDescent="0.35">
      <c r="A307" s="16">
        <v>55.9</v>
      </c>
      <c r="B307" s="17" t="s">
        <v>20</v>
      </c>
      <c r="C307" s="18">
        <v>80.7</v>
      </c>
      <c r="E307" s="4">
        <f t="shared" si="4"/>
        <v>68.3</v>
      </c>
    </row>
    <row r="308" spans="1:5" x14ac:dyDescent="0.35">
      <c r="A308" s="13">
        <v>81.099999999999994</v>
      </c>
      <c r="B308" s="14" t="s">
        <v>20</v>
      </c>
      <c r="C308" s="15">
        <v>87.2</v>
      </c>
      <c r="E308" s="4">
        <f t="shared" si="4"/>
        <v>84.15</v>
      </c>
    </row>
    <row r="309" spans="1:5" x14ac:dyDescent="0.35">
      <c r="A309" s="16">
        <v>48.8</v>
      </c>
      <c r="B309" s="17" t="s">
        <v>22</v>
      </c>
      <c r="C309" s="18">
        <v>72.8</v>
      </c>
      <c r="E309" s="4">
        <f t="shared" si="4"/>
        <v>60.8</v>
      </c>
    </row>
    <row r="310" spans="1:5" x14ac:dyDescent="0.35">
      <c r="A310" s="13">
        <v>63.1</v>
      </c>
      <c r="B310" s="14" t="s">
        <v>20</v>
      </c>
      <c r="C310" s="15">
        <v>85.2</v>
      </c>
      <c r="E310" s="4">
        <f t="shared" si="4"/>
        <v>74.150000000000006</v>
      </c>
    </row>
    <row r="311" spans="1:5" x14ac:dyDescent="0.35">
      <c r="A311" s="16">
        <v>66.900000000000006</v>
      </c>
      <c r="B311" s="17" t="s">
        <v>20</v>
      </c>
      <c r="C311" s="18">
        <v>83.3</v>
      </c>
      <c r="E311" s="4">
        <f t="shared" si="4"/>
        <v>75.099999999999994</v>
      </c>
    </row>
    <row r="312" spans="1:5" x14ac:dyDescent="0.35">
      <c r="A312" s="13">
        <v>62.4</v>
      </c>
      <c r="B312" s="14" t="s">
        <v>20</v>
      </c>
      <c r="C312" s="15">
        <v>82.6</v>
      </c>
      <c r="E312" s="4">
        <f t="shared" si="4"/>
        <v>72.5</v>
      </c>
    </row>
    <row r="313" spans="1:5" x14ac:dyDescent="0.35">
      <c r="A313" s="16">
        <v>63.2</v>
      </c>
      <c r="B313" s="17" t="s">
        <v>21</v>
      </c>
      <c r="C313" s="18">
        <v>63.4</v>
      </c>
      <c r="E313" s="4">
        <f t="shared" si="4"/>
        <v>63.3</v>
      </c>
    </row>
    <row r="314" spans="1:5" x14ac:dyDescent="0.35">
      <c r="A314" s="13">
        <v>92.5</v>
      </c>
      <c r="B314" s="14" t="s">
        <v>16</v>
      </c>
      <c r="C314" s="15">
        <v>100</v>
      </c>
      <c r="E314" s="4">
        <f t="shared" si="4"/>
        <v>96.25</v>
      </c>
    </row>
    <row r="315" spans="1:5" x14ac:dyDescent="0.35">
      <c r="A315" s="16">
        <v>59.8</v>
      </c>
      <c r="B315" s="17" t="s">
        <v>22</v>
      </c>
      <c r="C315" s="18">
        <v>79.400000000000006</v>
      </c>
      <c r="E315" s="4">
        <f t="shared" si="4"/>
        <v>69.599999999999994</v>
      </c>
    </row>
    <row r="316" spans="1:5" x14ac:dyDescent="0.35">
      <c r="A316" s="13">
        <v>99.3</v>
      </c>
      <c r="B316" s="14" t="s">
        <v>16</v>
      </c>
      <c r="C316" s="15">
        <v>100</v>
      </c>
      <c r="E316" s="4">
        <f t="shared" si="4"/>
        <v>99.65</v>
      </c>
    </row>
    <row r="317" spans="1:5" x14ac:dyDescent="0.35">
      <c r="A317" s="16">
        <v>75.2</v>
      </c>
      <c r="B317" s="17" t="s">
        <v>16</v>
      </c>
      <c r="C317" s="18">
        <v>100</v>
      </c>
      <c r="E317" s="4">
        <f t="shared" si="4"/>
        <v>87.6</v>
      </c>
    </row>
    <row r="318" spans="1:5" x14ac:dyDescent="0.35">
      <c r="A318" s="13">
        <v>71.099999999999994</v>
      </c>
      <c r="B318" s="14" t="s">
        <v>22</v>
      </c>
      <c r="C318" s="15">
        <v>72.900000000000006</v>
      </c>
      <c r="E318" s="4">
        <f t="shared" si="4"/>
        <v>72</v>
      </c>
    </row>
    <row r="319" spans="1:5" x14ac:dyDescent="0.35">
      <c r="A319" s="16">
        <v>75.7</v>
      </c>
      <c r="B319" s="17" t="s">
        <v>22</v>
      </c>
      <c r="C319" s="18">
        <v>79.2</v>
      </c>
      <c r="E319" s="4">
        <f t="shared" si="4"/>
        <v>77.45</v>
      </c>
    </row>
    <row r="320" spans="1:5" x14ac:dyDescent="0.35">
      <c r="A320" s="13">
        <v>100</v>
      </c>
      <c r="B320" s="14" t="s">
        <v>20</v>
      </c>
      <c r="C320" s="15">
        <v>84.2</v>
      </c>
      <c r="E320" s="4">
        <f t="shared" si="4"/>
        <v>92.1</v>
      </c>
    </row>
    <row r="321" spans="1:5" x14ac:dyDescent="0.35">
      <c r="A321" s="16">
        <v>58.1</v>
      </c>
      <c r="B321" s="17" t="s">
        <v>20</v>
      </c>
      <c r="C321" s="18">
        <v>80.7</v>
      </c>
      <c r="E321" s="4">
        <f t="shared" si="4"/>
        <v>69.400000000000006</v>
      </c>
    </row>
    <row r="322" spans="1:5" x14ac:dyDescent="0.35">
      <c r="A322" s="13">
        <v>56.6</v>
      </c>
      <c r="B322" s="14" t="s">
        <v>20</v>
      </c>
      <c r="C322" s="15">
        <v>85.3</v>
      </c>
      <c r="E322" s="4">
        <f t="shared" si="4"/>
        <v>70.95</v>
      </c>
    </row>
    <row r="323" spans="1:5" x14ac:dyDescent="0.35">
      <c r="A323" s="16">
        <v>60.9</v>
      </c>
      <c r="B323" s="17" t="s">
        <v>16</v>
      </c>
      <c r="C323" s="18">
        <v>93.1</v>
      </c>
      <c r="E323" s="4">
        <f t="shared" ref="E323:E386" si="5">(A323+C323)/2</f>
        <v>77</v>
      </c>
    </row>
    <row r="324" spans="1:5" x14ac:dyDescent="0.35">
      <c r="A324" s="13">
        <v>70.400000000000006</v>
      </c>
      <c r="B324" s="14" t="s">
        <v>22</v>
      </c>
      <c r="C324" s="15">
        <v>73.5</v>
      </c>
      <c r="E324" s="4">
        <f t="shared" si="5"/>
        <v>71.95</v>
      </c>
    </row>
    <row r="325" spans="1:5" x14ac:dyDescent="0.35">
      <c r="A325" s="16">
        <v>49.3</v>
      </c>
      <c r="B325" s="17" t="s">
        <v>16</v>
      </c>
      <c r="C325" s="18">
        <v>90.8</v>
      </c>
      <c r="E325" s="4">
        <f t="shared" si="5"/>
        <v>70.05</v>
      </c>
    </row>
    <row r="326" spans="1:5" x14ac:dyDescent="0.35">
      <c r="A326" s="13">
        <v>70.3</v>
      </c>
      <c r="B326" s="14" t="s">
        <v>20</v>
      </c>
      <c r="C326" s="15">
        <v>80.8</v>
      </c>
      <c r="E326" s="4">
        <f t="shared" si="5"/>
        <v>75.55</v>
      </c>
    </row>
    <row r="327" spans="1:5" x14ac:dyDescent="0.35">
      <c r="A327" s="16">
        <v>90.3</v>
      </c>
      <c r="B327" s="17" t="s">
        <v>20</v>
      </c>
      <c r="C327" s="18">
        <v>88.9</v>
      </c>
      <c r="E327" s="4">
        <f t="shared" si="5"/>
        <v>89.6</v>
      </c>
    </row>
    <row r="328" spans="1:5" x14ac:dyDescent="0.35">
      <c r="A328" s="13">
        <v>71.8</v>
      </c>
      <c r="B328" s="14" t="s">
        <v>21</v>
      </c>
      <c r="C328" s="15">
        <v>63.7</v>
      </c>
      <c r="E328" s="4">
        <f t="shared" si="5"/>
        <v>67.75</v>
      </c>
    </row>
    <row r="329" spans="1:5" x14ac:dyDescent="0.35">
      <c r="A329" s="16">
        <v>66.5</v>
      </c>
      <c r="B329" s="17" t="s">
        <v>20</v>
      </c>
      <c r="C329" s="18">
        <v>82.6</v>
      </c>
      <c r="E329" s="4">
        <f t="shared" si="5"/>
        <v>74.55</v>
      </c>
    </row>
    <row r="330" spans="1:5" x14ac:dyDescent="0.35">
      <c r="A330" s="13">
        <v>62.6</v>
      </c>
      <c r="B330" s="14" t="s">
        <v>21</v>
      </c>
      <c r="C330" s="15">
        <v>63.7</v>
      </c>
      <c r="E330" s="4">
        <f t="shared" si="5"/>
        <v>63.150000000000006</v>
      </c>
    </row>
    <row r="331" spans="1:5" x14ac:dyDescent="0.35">
      <c r="A331" s="16">
        <v>80.8</v>
      </c>
      <c r="B331" s="17" t="s">
        <v>16</v>
      </c>
      <c r="C331" s="18">
        <v>96.6</v>
      </c>
      <c r="E331" s="4">
        <f t="shared" si="5"/>
        <v>88.699999999999989</v>
      </c>
    </row>
    <row r="332" spans="1:5" x14ac:dyDescent="0.35">
      <c r="A332" s="13">
        <v>60.1</v>
      </c>
      <c r="B332" s="14" t="s">
        <v>16</v>
      </c>
      <c r="C332" s="15">
        <v>97</v>
      </c>
      <c r="E332" s="4">
        <f t="shared" si="5"/>
        <v>78.55</v>
      </c>
    </row>
    <row r="333" spans="1:5" x14ac:dyDescent="0.35">
      <c r="A333" s="16">
        <v>92.2</v>
      </c>
      <c r="B333" s="17" t="s">
        <v>16</v>
      </c>
      <c r="C333" s="18">
        <v>93.3</v>
      </c>
      <c r="E333" s="4">
        <f t="shared" si="5"/>
        <v>92.75</v>
      </c>
    </row>
    <row r="334" spans="1:5" x14ac:dyDescent="0.35">
      <c r="A334" s="13">
        <v>93.2</v>
      </c>
      <c r="B334" s="14" t="s">
        <v>20</v>
      </c>
      <c r="C334" s="15">
        <v>82.8</v>
      </c>
      <c r="E334" s="4">
        <f t="shared" si="5"/>
        <v>88</v>
      </c>
    </row>
    <row r="335" spans="1:5" x14ac:dyDescent="0.35">
      <c r="A335" s="16">
        <v>73.099999999999994</v>
      </c>
      <c r="B335" s="17" t="s">
        <v>20</v>
      </c>
      <c r="C335" s="18">
        <v>81.2</v>
      </c>
      <c r="E335" s="4">
        <f t="shared" si="5"/>
        <v>77.150000000000006</v>
      </c>
    </row>
    <row r="336" spans="1:5" x14ac:dyDescent="0.35">
      <c r="A336" s="13">
        <v>69.900000000000006</v>
      </c>
      <c r="B336" s="14" t="s">
        <v>20</v>
      </c>
      <c r="C336" s="15">
        <v>88.7</v>
      </c>
      <c r="E336" s="4">
        <f t="shared" si="5"/>
        <v>79.300000000000011</v>
      </c>
    </row>
    <row r="337" spans="1:5" x14ac:dyDescent="0.35">
      <c r="A337" s="16">
        <v>82.4</v>
      </c>
      <c r="B337" s="17" t="s">
        <v>22</v>
      </c>
      <c r="C337" s="18">
        <v>71.2</v>
      </c>
      <c r="E337" s="4">
        <f t="shared" si="5"/>
        <v>76.800000000000011</v>
      </c>
    </row>
    <row r="338" spans="1:5" x14ac:dyDescent="0.35">
      <c r="A338" s="13">
        <v>83.1</v>
      </c>
      <c r="B338" s="14" t="s">
        <v>20</v>
      </c>
      <c r="C338" s="15">
        <v>87.1</v>
      </c>
      <c r="E338" s="4">
        <f t="shared" si="5"/>
        <v>85.1</v>
      </c>
    </row>
    <row r="339" spans="1:5" x14ac:dyDescent="0.35">
      <c r="A339" s="16">
        <v>60.3</v>
      </c>
      <c r="B339" s="17" t="s">
        <v>16</v>
      </c>
      <c r="C339" s="18">
        <v>94.9</v>
      </c>
      <c r="E339" s="4">
        <f t="shared" si="5"/>
        <v>77.599999999999994</v>
      </c>
    </row>
    <row r="340" spans="1:5" x14ac:dyDescent="0.35">
      <c r="A340" s="13">
        <v>63.7</v>
      </c>
      <c r="B340" s="14" t="s">
        <v>22</v>
      </c>
      <c r="C340" s="15">
        <v>76.099999999999994</v>
      </c>
      <c r="E340" s="4">
        <f t="shared" si="5"/>
        <v>69.900000000000006</v>
      </c>
    </row>
    <row r="341" spans="1:5" x14ac:dyDescent="0.35">
      <c r="A341" s="16">
        <v>54.1</v>
      </c>
      <c r="B341" s="17" t="s">
        <v>20</v>
      </c>
      <c r="C341" s="18">
        <v>85.1</v>
      </c>
      <c r="E341" s="4">
        <f t="shared" si="5"/>
        <v>69.599999999999994</v>
      </c>
    </row>
    <row r="342" spans="1:5" x14ac:dyDescent="0.35">
      <c r="A342" s="13">
        <v>74.900000000000006</v>
      </c>
      <c r="B342" s="14" t="s">
        <v>16</v>
      </c>
      <c r="C342" s="15">
        <v>96.3</v>
      </c>
      <c r="E342" s="4">
        <f t="shared" si="5"/>
        <v>85.6</v>
      </c>
    </row>
    <row r="343" spans="1:5" x14ac:dyDescent="0.35">
      <c r="A343" s="16">
        <v>78</v>
      </c>
      <c r="B343" s="17" t="s">
        <v>16</v>
      </c>
      <c r="C343" s="18">
        <v>100</v>
      </c>
      <c r="E343" s="4">
        <f t="shared" si="5"/>
        <v>89</v>
      </c>
    </row>
    <row r="344" spans="1:5" x14ac:dyDescent="0.35">
      <c r="A344" s="13">
        <v>53.8</v>
      </c>
      <c r="B344" s="14" t="s">
        <v>16</v>
      </c>
      <c r="C344" s="15">
        <v>92</v>
      </c>
      <c r="E344" s="4">
        <f t="shared" si="5"/>
        <v>72.900000000000006</v>
      </c>
    </row>
    <row r="345" spans="1:5" x14ac:dyDescent="0.35">
      <c r="A345" s="16">
        <v>64.5</v>
      </c>
      <c r="B345" s="17" t="s">
        <v>22</v>
      </c>
      <c r="C345" s="18">
        <v>77.2</v>
      </c>
      <c r="E345" s="4">
        <f t="shared" si="5"/>
        <v>70.849999999999994</v>
      </c>
    </row>
    <row r="346" spans="1:5" x14ac:dyDescent="0.35">
      <c r="A346" s="13">
        <v>53.8</v>
      </c>
      <c r="B346" s="14" t="s">
        <v>16</v>
      </c>
      <c r="C346" s="15">
        <v>97.5</v>
      </c>
      <c r="E346" s="4">
        <f t="shared" si="5"/>
        <v>75.650000000000006</v>
      </c>
    </row>
    <row r="347" spans="1:5" x14ac:dyDescent="0.35">
      <c r="A347" s="16">
        <v>59.2</v>
      </c>
      <c r="B347" s="17" t="s">
        <v>22</v>
      </c>
      <c r="C347" s="18">
        <v>70.599999999999994</v>
      </c>
      <c r="E347" s="4">
        <f t="shared" si="5"/>
        <v>64.900000000000006</v>
      </c>
    </row>
    <row r="348" spans="1:5" x14ac:dyDescent="0.35">
      <c r="A348" s="13">
        <v>76.599999999999994</v>
      </c>
      <c r="B348" s="14" t="s">
        <v>20</v>
      </c>
      <c r="C348" s="15">
        <v>87.2</v>
      </c>
      <c r="E348" s="4">
        <f t="shared" si="5"/>
        <v>81.900000000000006</v>
      </c>
    </row>
    <row r="349" spans="1:5" x14ac:dyDescent="0.35">
      <c r="A349" s="16">
        <v>61.2</v>
      </c>
      <c r="B349" s="17" t="s">
        <v>21</v>
      </c>
      <c r="C349" s="18">
        <v>69</v>
      </c>
      <c r="E349" s="4">
        <f t="shared" si="5"/>
        <v>65.099999999999994</v>
      </c>
    </row>
    <row r="350" spans="1:5" x14ac:dyDescent="0.35">
      <c r="A350" s="13">
        <v>66.400000000000006</v>
      </c>
      <c r="B350" s="14" t="s">
        <v>16</v>
      </c>
      <c r="C350" s="15">
        <v>90.2</v>
      </c>
      <c r="E350" s="4">
        <f t="shared" si="5"/>
        <v>78.300000000000011</v>
      </c>
    </row>
    <row r="351" spans="1:5" x14ac:dyDescent="0.35">
      <c r="A351" s="16">
        <v>50.5</v>
      </c>
      <c r="B351" s="17" t="s">
        <v>22</v>
      </c>
      <c r="C351" s="18">
        <v>74</v>
      </c>
      <c r="E351" s="4">
        <f t="shared" si="5"/>
        <v>62.25</v>
      </c>
    </row>
    <row r="352" spans="1:5" x14ac:dyDescent="0.35">
      <c r="A352" s="13">
        <v>72.2</v>
      </c>
      <c r="B352" s="14" t="s">
        <v>22</v>
      </c>
      <c r="C352" s="15">
        <v>75.3</v>
      </c>
      <c r="E352" s="4">
        <f t="shared" si="5"/>
        <v>73.75</v>
      </c>
    </row>
    <row r="353" spans="1:5" x14ac:dyDescent="0.35">
      <c r="A353" s="16">
        <v>69.5</v>
      </c>
      <c r="B353" s="17" t="s">
        <v>20</v>
      </c>
      <c r="C353" s="18">
        <v>86.5</v>
      </c>
      <c r="E353" s="4">
        <f t="shared" si="5"/>
        <v>78</v>
      </c>
    </row>
    <row r="354" spans="1:5" x14ac:dyDescent="0.35">
      <c r="A354" s="13">
        <v>61.3</v>
      </c>
      <c r="B354" s="14" t="s">
        <v>16</v>
      </c>
      <c r="C354" s="15">
        <v>100</v>
      </c>
      <c r="E354" s="4">
        <f t="shared" si="5"/>
        <v>80.650000000000006</v>
      </c>
    </row>
    <row r="355" spans="1:5" x14ac:dyDescent="0.35">
      <c r="A355" s="16">
        <v>67.7</v>
      </c>
      <c r="B355" s="17" t="s">
        <v>16</v>
      </c>
      <c r="C355" s="18">
        <v>93.6</v>
      </c>
      <c r="E355" s="4">
        <f t="shared" si="5"/>
        <v>80.650000000000006</v>
      </c>
    </row>
    <row r="356" spans="1:5" x14ac:dyDescent="0.35">
      <c r="A356" s="13">
        <v>72.2</v>
      </c>
      <c r="B356" s="14" t="s">
        <v>22</v>
      </c>
      <c r="C356" s="15">
        <v>72</v>
      </c>
      <c r="E356" s="4">
        <f t="shared" si="5"/>
        <v>72.099999999999994</v>
      </c>
    </row>
    <row r="357" spans="1:5" x14ac:dyDescent="0.35">
      <c r="A357" s="16">
        <v>60.2</v>
      </c>
      <c r="B357" s="17" t="s">
        <v>22</v>
      </c>
      <c r="C357" s="18">
        <v>76.2</v>
      </c>
      <c r="E357" s="4">
        <f t="shared" si="5"/>
        <v>68.2</v>
      </c>
    </row>
    <row r="358" spans="1:5" x14ac:dyDescent="0.35">
      <c r="A358" s="13">
        <v>52.3</v>
      </c>
      <c r="B358" s="14" t="s">
        <v>20</v>
      </c>
      <c r="C358" s="15">
        <v>80.900000000000006</v>
      </c>
      <c r="E358" s="4">
        <f t="shared" si="5"/>
        <v>66.599999999999994</v>
      </c>
    </row>
    <row r="359" spans="1:5" x14ac:dyDescent="0.35">
      <c r="A359" s="16">
        <v>91.7</v>
      </c>
      <c r="B359" s="17" t="s">
        <v>20</v>
      </c>
      <c r="C359" s="18">
        <v>85.3</v>
      </c>
      <c r="E359" s="4">
        <f t="shared" si="5"/>
        <v>88.5</v>
      </c>
    </row>
    <row r="360" spans="1:5" x14ac:dyDescent="0.35">
      <c r="A360" s="13">
        <v>62.4</v>
      </c>
      <c r="B360" s="14" t="s">
        <v>20</v>
      </c>
      <c r="C360" s="15">
        <v>81.900000000000006</v>
      </c>
      <c r="E360" s="4">
        <f t="shared" si="5"/>
        <v>72.150000000000006</v>
      </c>
    </row>
    <row r="361" spans="1:5" x14ac:dyDescent="0.35">
      <c r="A361" s="16">
        <v>68.8</v>
      </c>
      <c r="B361" s="17" t="s">
        <v>22</v>
      </c>
      <c r="C361" s="18">
        <v>78</v>
      </c>
      <c r="E361" s="4">
        <f t="shared" si="5"/>
        <v>73.400000000000006</v>
      </c>
    </row>
    <row r="362" spans="1:5" x14ac:dyDescent="0.35">
      <c r="A362" s="13">
        <v>82.1</v>
      </c>
      <c r="B362" s="14" t="s">
        <v>16</v>
      </c>
      <c r="C362" s="15">
        <v>93.6</v>
      </c>
      <c r="E362" s="4">
        <f t="shared" si="5"/>
        <v>87.85</v>
      </c>
    </row>
    <row r="363" spans="1:5" x14ac:dyDescent="0.35">
      <c r="A363" s="16">
        <v>100</v>
      </c>
      <c r="B363" s="17" t="s">
        <v>16</v>
      </c>
      <c r="C363" s="18">
        <v>95.1</v>
      </c>
      <c r="E363" s="4">
        <f t="shared" si="5"/>
        <v>97.55</v>
      </c>
    </row>
    <row r="364" spans="1:5" x14ac:dyDescent="0.35">
      <c r="A364" s="13">
        <v>55.1</v>
      </c>
      <c r="B364" s="14" t="s">
        <v>21</v>
      </c>
      <c r="C364" s="15">
        <v>66.7</v>
      </c>
      <c r="E364" s="4">
        <f t="shared" si="5"/>
        <v>60.900000000000006</v>
      </c>
    </row>
    <row r="365" spans="1:5" x14ac:dyDescent="0.35">
      <c r="A365" s="16">
        <v>75.400000000000006</v>
      </c>
      <c r="B365" s="17" t="s">
        <v>22</v>
      </c>
      <c r="C365" s="18">
        <v>75.599999999999994</v>
      </c>
      <c r="E365" s="4">
        <f t="shared" si="5"/>
        <v>75.5</v>
      </c>
    </row>
    <row r="366" spans="1:5" x14ac:dyDescent="0.35">
      <c r="A366" s="13">
        <v>61.5</v>
      </c>
      <c r="B366" s="14" t="s">
        <v>25</v>
      </c>
      <c r="C366" s="15">
        <v>57.4</v>
      </c>
      <c r="E366" s="4">
        <f t="shared" si="5"/>
        <v>59.45</v>
      </c>
    </row>
    <row r="367" spans="1:5" x14ac:dyDescent="0.35">
      <c r="A367" s="16">
        <v>63.5</v>
      </c>
      <c r="B367" s="17" t="s">
        <v>22</v>
      </c>
      <c r="C367" s="18">
        <v>75.400000000000006</v>
      </c>
      <c r="E367" s="4">
        <f t="shared" si="5"/>
        <v>69.45</v>
      </c>
    </row>
    <row r="368" spans="1:5" x14ac:dyDescent="0.35">
      <c r="A368" s="13">
        <v>61.4</v>
      </c>
      <c r="B368" s="14" t="s">
        <v>20</v>
      </c>
      <c r="C368" s="15">
        <v>80.5</v>
      </c>
      <c r="E368" s="4">
        <f t="shared" si="5"/>
        <v>70.95</v>
      </c>
    </row>
    <row r="369" spans="1:5" x14ac:dyDescent="0.35">
      <c r="A369" s="16">
        <v>56.5</v>
      </c>
      <c r="B369" s="17" t="s">
        <v>22</v>
      </c>
      <c r="C369" s="18">
        <v>75.099999999999994</v>
      </c>
      <c r="E369" s="4">
        <f t="shared" si="5"/>
        <v>65.8</v>
      </c>
    </row>
    <row r="370" spans="1:5" x14ac:dyDescent="0.35">
      <c r="A370" s="13">
        <v>69.5</v>
      </c>
      <c r="B370" s="14" t="s">
        <v>21</v>
      </c>
      <c r="C370" s="15">
        <v>67.8</v>
      </c>
      <c r="E370" s="4">
        <f t="shared" si="5"/>
        <v>68.650000000000006</v>
      </c>
    </row>
    <row r="371" spans="1:5" x14ac:dyDescent="0.35">
      <c r="A371" s="16">
        <v>52.3</v>
      </c>
      <c r="B371" s="17" t="s">
        <v>16</v>
      </c>
      <c r="C371" s="18">
        <v>97.4</v>
      </c>
      <c r="E371" s="4">
        <f t="shared" si="5"/>
        <v>74.849999999999994</v>
      </c>
    </row>
    <row r="372" spans="1:5" x14ac:dyDescent="0.35">
      <c r="A372" s="13">
        <v>81.400000000000006</v>
      </c>
      <c r="B372" s="14" t="s">
        <v>20</v>
      </c>
      <c r="C372" s="15">
        <v>80.2</v>
      </c>
      <c r="E372" s="4">
        <f t="shared" si="5"/>
        <v>80.800000000000011</v>
      </c>
    </row>
    <row r="373" spans="1:5" x14ac:dyDescent="0.35">
      <c r="A373" s="16">
        <v>70.7</v>
      </c>
      <c r="B373" s="17" t="s">
        <v>20</v>
      </c>
      <c r="C373" s="18">
        <v>82.8</v>
      </c>
      <c r="E373" s="4">
        <f t="shared" si="5"/>
        <v>76.75</v>
      </c>
    </row>
    <row r="374" spans="1:5" x14ac:dyDescent="0.35">
      <c r="A374" s="13">
        <v>75.099999999999994</v>
      </c>
      <c r="B374" s="14" t="s">
        <v>20</v>
      </c>
      <c r="C374" s="15">
        <v>87.8</v>
      </c>
      <c r="E374" s="4">
        <f t="shared" si="5"/>
        <v>81.449999999999989</v>
      </c>
    </row>
    <row r="375" spans="1:5" x14ac:dyDescent="0.35">
      <c r="A375" s="16">
        <v>64.400000000000006</v>
      </c>
      <c r="B375" s="17" t="s">
        <v>20</v>
      </c>
      <c r="C375" s="18">
        <v>85.8</v>
      </c>
      <c r="E375" s="4">
        <f t="shared" si="5"/>
        <v>75.099999999999994</v>
      </c>
    </row>
    <row r="376" spans="1:5" x14ac:dyDescent="0.35">
      <c r="A376" s="13">
        <v>65.599999999999994</v>
      </c>
      <c r="B376" s="14" t="s">
        <v>16</v>
      </c>
      <c r="C376" s="15">
        <v>91.7</v>
      </c>
      <c r="E376" s="4">
        <f t="shared" si="5"/>
        <v>78.650000000000006</v>
      </c>
    </row>
    <row r="377" spans="1:5" x14ac:dyDescent="0.35">
      <c r="A377" s="16">
        <v>73.5</v>
      </c>
      <c r="B377" s="17" t="s">
        <v>20</v>
      </c>
      <c r="C377" s="18">
        <v>84.9</v>
      </c>
      <c r="E377" s="4">
        <f t="shared" si="5"/>
        <v>79.2</v>
      </c>
    </row>
    <row r="378" spans="1:5" x14ac:dyDescent="0.35">
      <c r="A378" s="13">
        <v>56</v>
      </c>
      <c r="B378" s="14" t="s">
        <v>16</v>
      </c>
      <c r="C378" s="15">
        <v>99.3</v>
      </c>
      <c r="E378" s="4">
        <f t="shared" si="5"/>
        <v>77.650000000000006</v>
      </c>
    </row>
    <row r="379" spans="1:5" x14ac:dyDescent="0.35">
      <c r="A379" s="16">
        <v>65.7</v>
      </c>
      <c r="B379" s="17" t="s">
        <v>22</v>
      </c>
      <c r="C379" s="18">
        <v>74.3</v>
      </c>
      <c r="E379" s="4">
        <f t="shared" si="5"/>
        <v>70</v>
      </c>
    </row>
    <row r="380" spans="1:5" x14ac:dyDescent="0.35">
      <c r="A380" s="13">
        <v>59.7</v>
      </c>
      <c r="B380" s="14" t="s">
        <v>16</v>
      </c>
      <c r="C380" s="15">
        <v>93.3</v>
      </c>
      <c r="E380" s="4">
        <f t="shared" si="5"/>
        <v>76.5</v>
      </c>
    </row>
    <row r="381" spans="1:5" x14ac:dyDescent="0.35">
      <c r="A381" s="16">
        <v>59.3</v>
      </c>
      <c r="B381" s="17" t="s">
        <v>22</v>
      </c>
      <c r="C381" s="18">
        <v>79.400000000000006</v>
      </c>
      <c r="E381" s="4">
        <f t="shared" si="5"/>
        <v>69.349999999999994</v>
      </c>
    </row>
    <row r="382" spans="1:5" x14ac:dyDescent="0.35">
      <c r="A382" s="13">
        <v>44.7</v>
      </c>
      <c r="B382" s="14" t="s">
        <v>22</v>
      </c>
      <c r="C382" s="15">
        <v>77.400000000000006</v>
      </c>
      <c r="E382" s="4">
        <f t="shared" si="5"/>
        <v>61.050000000000004</v>
      </c>
    </row>
    <row r="383" spans="1:5" x14ac:dyDescent="0.35">
      <c r="A383" s="16">
        <v>86.1</v>
      </c>
      <c r="B383" s="17" t="s">
        <v>16</v>
      </c>
      <c r="C383" s="18">
        <v>100</v>
      </c>
      <c r="E383" s="4">
        <f t="shared" si="5"/>
        <v>93.05</v>
      </c>
    </row>
    <row r="384" spans="1:5" x14ac:dyDescent="0.35">
      <c r="A384" s="13">
        <v>61.8</v>
      </c>
      <c r="B384" s="14" t="s">
        <v>22</v>
      </c>
      <c r="C384" s="15">
        <v>76.8</v>
      </c>
      <c r="E384" s="4">
        <f t="shared" si="5"/>
        <v>69.3</v>
      </c>
    </row>
    <row r="385" spans="1:5" x14ac:dyDescent="0.35">
      <c r="A385" s="16">
        <v>84</v>
      </c>
      <c r="B385" s="17" t="s">
        <v>16</v>
      </c>
      <c r="C385" s="18">
        <v>100</v>
      </c>
      <c r="E385" s="4">
        <f t="shared" si="5"/>
        <v>92</v>
      </c>
    </row>
    <row r="386" spans="1:5" x14ac:dyDescent="0.35">
      <c r="A386" s="13">
        <v>82.8</v>
      </c>
      <c r="B386" s="14" t="s">
        <v>20</v>
      </c>
      <c r="C386" s="15">
        <v>88.6</v>
      </c>
      <c r="E386" s="4">
        <f t="shared" si="5"/>
        <v>85.699999999999989</v>
      </c>
    </row>
    <row r="387" spans="1:5" x14ac:dyDescent="0.35">
      <c r="A387" s="16">
        <v>54.6</v>
      </c>
      <c r="B387" s="17" t="s">
        <v>22</v>
      </c>
      <c r="C387" s="18">
        <v>79.099999999999994</v>
      </c>
      <c r="E387" s="4">
        <f t="shared" ref="E387:E450" si="6">(A387+C387)/2</f>
        <v>66.849999999999994</v>
      </c>
    </row>
    <row r="388" spans="1:5" x14ac:dyDescent="0.35">
      <c r="A388" s="13">
        <v>56.9</v>
      </c>
      <c r="B388" s="14" t="s">
        <v>22</v>
      </c>
      <c r="C388" s="15">
        <v>79.400000000000006</v>
      </c>
      <c r="E388" s="4">
        <f t="shared" si="6"/>
        <v>68.150000000000006</v>
      </c>
    </row>
    <row r="389" spans="1:5" x14ac:dyDescent="0.35">
      <c r="A389" s="16">
        <v>100</v>
      </c>
      <c r="B389" s="17" t="s">
        <v>16</v>
      </c>
      <c r="C389" s="18">
        <v>100</v>
      </c>
      <c r="E389" s="4">
        <f t="shared" si="6"/>
        <v>100</v>
      </c>
    </row>
    <row r="390" spans="1:5" x14ac:dyDescent="0.35">
      <c r="A390" s="13">
        <v>91</v>
      </c>
      <c r="B390" s="14" t="s">
        <v>20</v>
      </c>
      <c r="C390" s="15">
        <v>86.7</v>
      </c>
      <c r="E390" s="4">
        <f t="shared" si="6"/>
        <v>88.85</v>
      </c>
    </row>
    <row r="391" spans="1:5" x14ac:dyDescent="0.35">
      <c r="A391" s="16">
        <v>69.599999999999994</v>
      </c>
      <c r="B391" s="17" t="s">
        <v>21</v>
      </c>
      <c r="C391" s="18">
        <v>69.5</v>
      </c>
      <c r="E391" s="4">
        <f t="shared" si="6"/>
        <v>69.55</v>
      </c>
    </row>
    <row r="392" spans="1:5" x14ac:dyDescent="0.35">
      <c r="A392" s="13">
        <v>73.099999999999994</v>
      </c>
      <c r="B392" s="14" t="s">
        <v>20</v>
      </c>
      <c r="C392" s="15">
        <v>86.3</v>
      </c>
      <c r="E392" s="4">
        <f t="shared" si="6"/>
        <v>79.699999999999989</v>
      </c>
    </row>
    <row r="393" spans="1:5" x14ac:dyDescent="0.35">
      <c r="A393" s="16">
        <v>62.4</v>
      </c>
      <c r="B393" s="17" t="s">
        <v>20</v>
      </c>
      <c r="C393" s="18">
        <v>87.3</v>
      </c>
      <c r="E393" s="4">
        <f t="shared" si="6"/>
        <v>74.849999999999994</v>
      </c>
    </row>
    <row r="394" spans="1:5" x14ac:dyDescent="0.35">
      <c r="A394" s="13">
        <v>75.2</v>
      </c>
      <c r="B394" s="14" t="s">
        <v>22</v>
      </c>
      <c r="C394" s="15">
        <v>72.099999999999994</v>
      </c>
      <c r="E394" s="4">
        <f t="shared" si="6"/>
        <v>73.650000000000006</v>
      </c>
    </row>
    <row r="395" spans="1:5" x14ac:dyDescent="0.35">
      <c r="A395" s="16">
        <v>61.4</v>
      </c>
      <c r="B395" s="17" t="s">
        <v>16</v>
      </c>
      <c r="C395" s="18">
        <v>92.3</v>
      </c>
      <c r="E395" s="4">
        <f t="shared" si="6"/>
        <v>76.849999999999994</v>
      </c>
    </row>
    <row r="396" spans="1:5" x14ac:dyDescent="0.35">
      <c r="A396" s="13">
        <v>45.6</v>
      </c>
      <c r="B396" s="14" t="s">
        <v>21</v>
      </c>
      <c r="C396" s="15">
        <v>67.599999999999994</v>
      </c>
      <c r="E396" s="4">
        <f t="shared" si="6"/>
        <v>56.599999999999994</v>
      </c>
    </row>
    <row r="397" spans="1:5" x14ac:dyDescent="0.35">
      <c r="A397" s="16">
        <v>54.1</v>
      </c>
      <c r="B397" s="17" t="s">
        <v>22</v>
      </c>
      <c r="C397" s="18">
        <v>72.7</v>
      </c>
      <c r="E397" s="4">
        <f t="shared" si="6"/>
        <v>63.400000000000006</v>
      </c>
    </row>
    <row r="398" spans="1:5" x14ac:dyDescent="0.35">
      <c r="A398" s="13">
        <v>70.3</v>
      </c>
      <c r="B398" s="14" t="s">
        <v>22</v>
      </c>
      <c r="C398" s="15">
        <v>76.099999999999994</v>
      </c>
      <c r="E398" s="4">
        <f t="shared" si="6"/>
        <v>73.199999999999989</v>
      </c>
    </row>
    <row r="399" spans="1:5" x14ac:dyDescent="0.35">
      <c r="A399" s="16">
        <v>56.4</v>
      </c>
      <c r="B399" s="17" t="s">
        <v>20</v>
      </c>
      <c r="C399" s="18">
        <v>81.2</v>
      </c>
      <c r="E399" s="4">
        <f t="shared" si="6"/>
        <v>68.8</v>
      </c>
    </row>
    <row r="400" spans="1:5" x14ac:dyDescent="0.35">
      <c r="A400" s="13">
        <v>69.2</v>
      </c>
      <c r="B400" s="14" t="s">
        <v>16</v>
      </c>
      <c r="C400" s="15">
        <v>90.4</v>
      </c>
      <c r="E400" s="4">
        <f t="shared" si="6"/>
        <v>79.800000000000011</v>
      </c>
    </row>
    <row r="401" spans="1:5" x14ac:dyDescent="0.35">
      <c r="A401" s="16">
        <v>57.1</v>
      </c>
      <c r="B401" s="17" t="s">
        <v>22</v>
      </c>
      <c r="C401" s="18">
        <v>73.2</v>
      </c>
      <c r="E401" s="4">
        <f t="shared" si="6"/>
        <v>65.150000000000006</v>
      </c>
    </row>
    <row r="402" spans="1:5" x14ac:dyDescent="0.35">
      <c r="A402" s="13">
        <v>60.6</v>
      </c>
      <c r="B402" s="14" t="s">
        <v>20</v>
      </c>
      <c r="C402" s="15">
        <v>85.2</v>
      </c>
      <c r="E402" s="4">
        <f t="shared" si="6"/>
        <v>72.900000000000006</v>
      </c>
    </row>
    <row r="403" spans="1:5" x14ac:dyDescent="0.35">
      <c r="A403" s="16">
        <v>80.2</v>
      </c>
      <c r="B403" s="17" t="s">
        <v>16</v>
      </c>
      <c r="C403" s="18">
        <v>96.4</v>
      </c>
      <c r="E403" s="4">
        <f t="shared" si="6"/>
        <v>88.300000000000011</v>
      </c>
    </row>
    <row r="404" spans="1:5" x14ac:dyDescent="0.35">
      <c r="A404" s="13">
        <v>73</v>
      </c>
      <c r="B404" s="14" t="s">
        <v>20</v>
      </c>
      <c r="C404" s="15">
        <v>81.900000000000006</v>
      </c>
      <c r="E404" s="4">
        <f t="shared" si="6"/>
        <v>77.45</v>
      </c>
    </row>
    <row r="405" spans="1:5" x14ac:dyDescent="0.35">
      <c r="A405" s="16">
        <v>69.900000000000006</v>
      </c>
      <c r="B405" s="17" t="s">
        <v>20</v>
      </c>
      <c r="C405" s="18">
        <v>86.5</v>
      </c>
      <c r="E405" s="4">
        <f t="shared" si="6"/>
        <v>78.2</v>
      </c>
    </row>
    <row r="406" spans="1:5" x14ac:dyDescent="0.35">
      <c r="A406" s="13">
        <v>80.5</v>
      </c>
      <c r="B406" s="14" t="s">
        <v>20</v>
      </c>
      <c r="C406" s="15">
        <v>84.7</v>
      </c>
      <c r="E406" s="4">
        <f t="shared" si="6"/>
        <v>82.6</v>
      </c>
    </row>
    <row r="407" spans="1:5" x14ac:dyDescent="0.35">
      <c r="A407" s="16">
        <v>75.8</v>
      </c>
      <c r="B407" s="17" t="s">
        <v>16</v>
      </c>
      <c r="C407" s="18">
        <v>93</v>
      </c>
      <c r="E407" s="4">
        <f t="shared" si="6"/>
        <v>84.4</v>
      </c>
    </row>
    <row r="408" spans="1:5" x14ac:dyDescent="0.35">
      <c r="A408" s="13">
        <v>87.4</v>
      </c>
      <c r="B408" s="14" t="s">
        <v>22</v>
      </c>
      <c r="C408" s="15">
        <v>78.900000000000006</v>
      </c>
      <c r="E408" s="4">
        <f t="shared" si="6"/>
        <v>83.15</v>
      </c>
    </row>
    <row r="409" spans="1:5" x14ac:dyDescent="0.35">
      <c r="A409" s="16">
        <v>64.5</v>
      </c>
      <c r="B409" s="17" t="s">
        <v>16</v>
      </c>
      <c r="C409" s="18">
        <v>90.4</v>
      </c>
      <c r="E409" s="4">
        <f t="shared" si="6"/>
        <v>77.45</v>
      </c>
    </row>
    <row r="410" spans="1:5" x14ac:dyDescent="0.35">
      <c r="A410" s="13">
        <v>64.8</v>
      </c>
      <c r="B410" s="14" t="s">
        <v>20</v>
      </c>
      <c r="C410" s="15">
        <v>80.099999999999994</v>
      </c>
      <c r="E410" s="4">
        <f t="shared" si="6"/>
        <v>72.449999999999989</v>
      </c>
    </row>
    <row r="411" spans="1:5" x14ac:dyDescent="0.35">
      <c r="A411" s="16">
        <v>54.4</v>
      </c>
      <c r="B411" s="17" t="s">
        <v>22</v>
      </c>
      <c r="C411" s="18">
        <v>78.099999999999994</v>
      </c>
      <c r="E411" s="4">
        <f t="shared" si="6"/>
        <v>66.25</v>
      </c>
    </row>
    <row r="412" spans="1:5" x14ac:dyDescent="0.35">
      <c r="A412" s="13">
        <v>64.900000000000006</v>
      </c>
      <c r="B412" s="14" t="s">
        <v>22</v>
      </c>
      <c r="C412" s="15">
        <v>70.099999999999994</v>
      </c>
      <c r="E412" s="4">
        <f t="shared" si="6"/>
        <v>67.5</v>
      </c>
    </row>
    <row r="413" spans="1:5" x14ac:dyDescent="0.35">
      <c r="A413" s="16">
        <v>81.599999999999994</v>
      </c>
      <c r="B413" s="17" t="s">
        <v>16</v>
      </c>
      <c r="C413" s="18">
        <v>90.2</v>
      </c>
      <c r="E413" s="4">
        <f t="shared" si="6"/>
        <v>85.9</v>
      </c>
    </row>
    <row r="414" spans="1:5" x14ac:dyDescent="0.35">
      <c r="A414" s="13">
        <v>85.6</v>
      </c>
      <c r="B414" s="14" t="s">
        <v>20</v>
      </c>
      <c r="C414" s="15">
        <v>86.5</v>
      </c>
      <c r="E414" s="4">
        <f t="shared" si="6"/>
        <v>86.05</v>
      </c>
    </row>
    <row r="415" spans="1:5" x14ac:dyDescent="0.35">
      <c r="A415" s="16">
        <v>81.5</v>
      </c>
      <c r="B415" s="17" t="s">
        <v>16</v>
      </c>
      <c r="C415" s="18">
        <v>93.5</v>
      </c>
      <c r="E415" s="4">
        <f t="shared" si="6"/>
        <v>87.5</v>
      </c>
    </row>
    <row r="416" spans="1:5" x14ac:dyDescent="0.35">
      <c r="A416" s="13">
        <v>48.5</v>
      </c>
      <c r="B416" s="14" t="s">
        <v>20</v>
      </c>
      <c r="C416" s="15">
        <v>83.3</v>
      </c>
      <c r="E416" s="4">
        <f t="shared" si="6"/>
        <v>65.900000000000006</v>
      </c>
    </row>
    <row r="417" spans="1:5" x14ac:dyDescent="0.35">
      <c r="A417" s="16">
        <v>83</v>
      </c>
      <c r="B417" s="17" t="s">
        <v>20</v>
      </c>
      <c r="C417" s="18">
        <v>81.2</v>
      </c>
      <c r="E417" s="4">
        <f t="shared" si="6"/>
        <v>82.1</v>
      </c>
    </row>
    <row r="418" spans="1:5" x14ac:dyDescent="0.35">
      <c r="A418" s="13">
        <v>47.9</v>
      </c>
      <c r="B418" s="14" t="s">
        <v>22</v>
      </c>
      <c r="C418" s="15">
        <v>76</v>
      </c>
      <c r="E418" s="4">
        <f t="shared" si="6"/>
        <v>61.95</v>
      </c>
    </row>
    <row r="419" spans="1:5" x14ac:dyDescent="0.35">
      <c r="A419" s="16">
        <v>80.8</v>
      </c>
      <c r="B419" s="17" t="s">
        <v>20</v>
      </c>
      <c r="C419" s="18">
        <v>84.9</v>
      </c>
      <c r="E419" s="4">
        <f t="shared" si="6"/>
        <v>82.85</v>
      </c>
    </row>
    <row r="420" spans="1:5" x14ac:dyDescent="0.35">
      <c r="A420" s="13">
        <v>65.599999999999994</v>
      </c>
      <c r="B420" s="14" t="s">
        <v>22</v>
      </c>
      <c r="C420" s="15">
        <v>79.2</v>
      </c>
      <c r="E420" s="4">
        <f t="shared" si="6"/>
        <v>72.400000000000006</v>
      </c>
    </row>
    <row r="421" spans="1:5" x14ac:dyDescent="0.35">
      <c r="A421" s="16">
        <v>78.400000000000006</v>
      </c>
      <c r="B421" s="17" t="s">
        <v>22</v>
      </c>
      <c r="C421" s="18">
        <v>72.8</v>
      </c>
      <c r="E421" s="4">
        <f t="shared" si="6"/>
        <v>75.599999999999994</v>
      </c>
    </row>
    <row r="422" spans="1:5" x14ac:dyDescent="0.35">
      <c r="A422" s="13">
        <v>54</v>
      </c>
      <c r="B422" s="14" t="s">
        <v>21</v>
      </c>
      <c r="C422" s="15">
        <v>69.900000000000006</v>
      </c>
      <c r="E422" s="4">
        <f t="shared" si="6"/>
        <v>61.95</v>
      </c>
    </row>
    <row r="423" spans="1:5" x14ac:dyDescent="0.35">
      <c r="A423" s="16">
        <v>84.1</v>
      </c>
      <c r="B423" s="17" t="s">
        <v>20</v>
      </c>
      <c r="C423" s="18">
        <v>89.6</v>
      </c>
      <c r="E423" s="4">
        <f t="shared" si="6"/>
        <v>86.85</v>
      </c>
    </row>
    <row r="424" spans="1:5" x14ac:dyDescent="0.35">
      <c r="A424" s="13">
        <v>52.4</v>
      </c>
      <c r="B424" s="14" t="s">
        <v>22</v>
      </c>
      <c r="C424" s="15">
        <v>77.3</v>
      </c>
      <c r="E424" s="4">
        <f t="shared" si="6"/>
        <v>64.849999999999994</v>
      </c>
    </row>
    <row r="425" spans="1:5" x14ac:dyDescent="0.35">
      <c r="A425" s="16">
        <v>62</v>
      </c>
      <c r="B425" s="17" t="s">
        <v>21</v>
      </c>
      <c r="C425" s="18">
        <v>64.599999999999994</v>
      </c>
      <c r="E425" s="4">
        <f t="shared" si="6"/>
        <v>63.3</v>
      </c>
    </row>
    <row r="426" spans="1:5" x14ac:dyDescent="0.35">
      <c r="A426" s="13">
        <v>58</v>
      </c>
      <c r="B426" s="14" t="s">
        <v>20</v>
      </c>
      <c r="C426" s="15">
        <v>81.8</v>
      </c>
      <c r="E426" s="4">
        <f t="shared" si="6"/>
        <v>69.900000000000006</v>
      </c>
    </row>
    <row r="427" spans="1:5" x14ac:dyDescent="0.35">
      <c r="A427" s="16">
        <v>48.9</v>
      </c>
      <c r="B427" s="17" t="s">
        <v>20</v>
      </c>
      <c r="C427" s="18">
        <v>86.2</v>
      </c>
      <c r="E427" s="4">
        <f t="shared" si="6"/>
        <v>67.55</v>
      </c>
    </row>
    <row r="428" spans="1:5" x14ac:dyDescent="0.35">
      <c r="A428" s="13">
        <v>71.099999999999994</v>
      </c>
      <c r="B428" s="14" t="s">
        <v>16</v>
      </c>
      <c r="C428" s="15">
        <v>100</v>
      </c>
      <c r="E428" s="4">
        <f t="shared" si="6"/>
        <v>85.55</v>
      </c>
    </row>
    <row r="429" spans="1:5" x14ac:dyDescent="0.35">
      <c r="A429" s="16">
        <v>91.7</v>
      </c>
      <c r="B429" s="17" t="s">
        <v>16</v>
      </c>
      <c r="C429" s="18">
        <v>100</v>
      </c>
      <c r="E429" s="4">
        <f t="shared" si="6"/>
        <v>95.85</v>
      </c>
    </row>
    <row r="430" spans="1:5" x14ac:dyDescent="0.35">
      <c r="A430" s="13">
        <v>100</v>
      </c>
      <c r="B430" s="14" t="s">
        <v>16</v>
      </c>
      <c r="C430" s="15">
        <v>100</v>
      </c>
      <c r="E430" s="4">
        <f t="shared" si="6"/>
        <v>100</v>
      </c>
    </row>
    <row r="431" spans="1:5" x14ac:dyDescent="0.35">
      <c r="A431" s="16">
        <v>71.2</v>
      </c>
      <c r="B431" s="17" t="s">
        <v>22</v>
      </c>
      <c r="C431" s="18">
        <v>72</v>
      </c>
      <c r="E431" s="4">
        <f t="shared" si="6"/>
        <v>71.599999999999994</v>
      </c>
    </row>
    <row r="432" spans="1:5" x14ac:dyDescent="0.35">
      <c r="A432" s="13">
        <v>83.4</v>
      </c>
      <c r="B432" s="14" t="s">
        <v>20</v>
      </c>
      <c r="C432" s="15">
        <v>81.2</v>
      </c>
      <c r="E432" s="4">
        <f t="shared" si="6"/>
        <v>82.300000000000011</v>
      </c>
    </row>
    <row r="433" spans="1:5" x14ac:dyDescent="0.35">
      <c r="A433" s="16">
        <v>72.8</v>
      </c>
      <c r="B433" s="17" t="s">
        <v>16</v>
      </c>
      <c r="C433" s="18">
        <v>100</v>
      </c>
      <c r="E433" s="4">
        <f t="shared" si="6"/>
        <v>86.4</v>
      </c>
    </row>
    <row r="434" spans="1:5" x14ac:dyDescent="0.35">
      <c r="A434" s="13">
        <v>76</v>
      </c>
      <c r="B434" s="14" t="s">
        <v>22</v>
      </c>
      <c r="C434" s="15">
        <v>79.7</v>
      </c>
      <c r="E434" s="4">
        <f t="shared" si="6"/>
        <v>77.849999999999994</v>
      </c>
    </row>
    <row r="435" spans="1:5" x14ac:dyDescent="0.35">
      <c r="A435" s="16">
        <v>65.900000000000006</v>
      </c>
      <c r="B435" s="17" t="s">
        <v>20</v>
      </c>
      <c r="C435" s="18">
        <v>89.4</v>
      </c>
      <c r="E435" s="4">
        <f t="shared" si="6"/>
        <v>77.650000000000006</v>
      </c>
    </row>
    <row r="436" spans="1:5" x14ac:dyDescent="0.35">
      <c r="A436" s="13">
        <v>72.3</v>
      </c>
      <c r="B436" s="14" t="s">
        <v>22</v>
      </c>
      <c r="C436" s="15">
        <v>77.8</v>
      </c>
      <c r="E436" s="4">
        <f t="shared" si="6"/>
        <v>75.05</v>
      </c>
    </row>
    <row r="437" spans="1:5" x14ac:dyDescent="0.35">
      <c r="A437" s="16">
        <v>76.400000000000006</v>
      </c>
      <c r="B437" s="17" t="s">
        <v>16</v>
      </c>
      <c r="C437" s="18">
        <v>93.4</v>
      </c>
      <c r="E437" s="4">
        <f t="shared" si="6"/>
        <v>84.9</v>
      </c>
    </row>
    <row r="438" spans="1:5" x14ac:dyDescent="0.35">
      <c r="A438" s="13">
        <v>63.1</v>
      </c>
      <c r="B438" s="14" t="s">
        <v>16</v>
      </c>
      <c r="C438" s="15">
        <v>100</v>
      </c>
      <c r="E438" s="4">
        <f t="shared" si="6"/>
        <v>81.55</v>
      </c>
    </row>
    <row r="439" spans="1:5" x14ac:dyDescent="0.35">
      <c r="A439" s="16">
        <v>69.099999999999994</v>
      </c>
      <c r="B439" s="17" t="s">
        <v>22</v>
      </c>
      <c r="C439" s="18">
        <v>76.5</v>
      </c>
      <c r="E439" s="4">
        <f t="shared" si="6"/>
        <v>72.8</v>
      </c>
    </row>
    <row r="440" spans="1:5" x14ac:dyDescent="0.35">
      <c r="A440" s="13">
        <v>69.3</v>
      </c>
      <c r="B440" s="14" t="s">
        <v>22</v>
      </c>
      <c r="C440" s="15">
        <v>79.3</v>
      </c>
      <c r="E440" s="4">
        <f t="shared" si="6"/>
        <v>74.3</v>
      </c>
    </row>
    <row r="441" spans="1:5" x14ac:dyDescent="0.35">
      <c r="A441" s="16">
        <v>79.900000000000006</v>
      </c>
      <c r="B441" s="17" t="s">
        <v>16</v>
      </c>
      <c r="C441" s="18">
        <v>100</v>
      </c>
      <c r="E441" s="4">
        <f t="shared" si="6"/>
        <v>89.95</v>
      </c>
    </row>
    <row r="442" spans="1:5" x14ac:dyDescent="0.35">
      <c r="A442" s="13">
        <v>57.2</v>
      </c>
      <c r="B442" s="14" t="s">
        <v>16</v>
      </c>
      <c r="C442" s="15">
        <v>98.9</v>
      </c>
      <c r="E442" s="4">
        <f t="shared" si="6"/>
        <v>78.050000000000011</v>
      </c>
    </row>
    <row r="443" spans="1:5" x14ac:dyDescent="0.35">
      <c r="A443" s="16">
        <v>69.400000000000006</v>
      </c>
      <c r="B443" s="17" t="s">
        <v>20</v>
      </c>
      <c r="C443" s="18">
        <v>87.5</v>
      </c>
      <c r="E443" s="4">
        <f t="shared" si="6"/>
        <v>78.45</v>
      </c>
    </row>
    <row r="444" spans="1:5" x14ac:dyDescent="0.35">
      <c r="A444" s="13">
        <v>92.9</v>
      </c>
      <c r="B444" s="14" t="s">
        <v>20</v>
      </c>
      <c r="C444" s="15">
        <v>85.2</v>
      </c>
      <c r="E444" s="4">
        <f t="shared" si="6"/>
        <v>89.050000000000011</v>
      </c>
    </row>
    <row r="445" spans="1:5" x14ac:dyDescent="0.35">
      <c r="A445" s="16">
        <v>84</v>
      </c>
      <c r="B445" s="17" t="s">
        <v>20</v>
      </c>
      <c r="C445" s="18">
        <v>86</v>
      </c>
      <c r="E445" s="4">
        <f t="shared" si="6"/>
        <v>85</v>
      </c>
    </row>
    <row r="446" spans="1:5" x14ac:dyDescent="0.35">
      <c r="A446" s="13">
        <v>86.2</v>
      </c>
      <c r="B446" s="14" t="s">
        <v>20</v>
      </c>
      <c r="C446" s="15">
        <v>80.7</v>
      </c>
      <c r="E446" s="4">
        <f t="shared" si="6"/>
        <v>83.45</v>
      </c>
    </row>
    <row r="447" spans="1:5" x14ac:dyDescent="0.35">
      <c r="A447" s="16">
        <v>70.3</v>
      </c>
      <c r="B447" s="17" t="s">
        <v>22</v>
      </c>
      <c r="C447" s="18">
        <v>79.900000000000006</v>
      </c>
      <c r="E447" s="4">
        <f t="shared" si="6"/>
        <v>75.099999999999994</v>
      </c>
    </row>
    <row r="448" spans="1:5" x14ac:dyDescent="0.35">
      <c r="A448" s="13">
        <v>73.900000000000006</v>
      </c>
      <c r="B448" s="14" t="s">
        <v>22</v>
      </c>
      <c r="C448" s="15">
        <v>79.099999999999994</v>
      </c>
      <c r="E448" s="4">
        <f t="shared" si="6"/>
        <v>76.5</v>
      </c>
    </row>
    <row r="449" spans="1:5" x14ac:dyDescent="0.35">
      <c r="A449" s="16">
        <v>82</v>
      </c>
      <c r="B449" s="17" t="s">
        <v>20</v>
      </c>
      <c r="C449" s="18">
        <v>87.1</v>
      </c>
      <c r="E449" s="4">
        <f t="shared" si="6"/>
        <v>84.55</v>
      </c>
    </row>
    <row r="450" spans="1:5" x14ac:dyDescent="0.35">
      <c r="A450" s="13">
        <v>88.7</v>
      </c>
      <c r="B450" s="14" t="s">
        <v>16</v>
      </c>
      <c r="C450" s="15">
        <v>90.7</v>
      </c>
      <c r="E450" s="4">
        <f t="shared" si="6"/>
        <v>89.7</v>
      </c>
    </row>
    <row r="451" spans="1:5" x14ac:dyDescent="0.35">
      <c r="A451" s="16">
        <v>46.6</v>
      </c>
      <c r="B451" s="17" t="s">
        <v>21</v>
      </c>
      <c r="C451" s="18">
        <v>64.599999999999994</v>
      </c>
      <c r="E451" s="4">
        <f t="shared" ref="E451:E514" si="7">(A451+C451)/2</f>
        <v>55.599999999999994</v>
      </c>
    </row>
    <row r="452" spans="1:5" x14ac:dyDescent="0.35">
      <c r="A452" s="13">
        <v>54.2</v>
      </c>
      <c r="B452" s="14" t="s">
        <v>22</v>
      </c>
      <c r="C452" s="15">
        <v>77.900000000000006</v>
      </c>
      <c r="E452" s="4">
        <f t="shared" si="7"/>
        <v>66.050000000000011</v>
      </c>
    </row>
    <row r="453" spans="1:5" x14ac:dyDescent="0.35">
      <c r="A453" s="16">
        <v>85.7</v>
      </c>
      <c r="B453" s="17" t="s">
        <v>20</v>
      </c>
      <c r="C453" s="18">
        <v>82</v>
      </c>
      <c r="E453" s="4">
        <f t="shared" si="7"/>
        <v>83.85</v>
      </c>
    </row>
    <row r="454" spans="1:5" x14ac:dyDescent="0.35">
      <c r="A454" s="13">
        <v>66.7</v>
      </c>
      <c r="B454" s="14" t="s">
        <v>16</v>
      </c>
      <c r="C454" s="15">
        <v>92.8</v>
      </c>
      <c r="E454" s="4">
        <f t="shared" si="7"/>
        <v>79.75</v>
      </c>
    </row>
    <row r="455" spans="1:5" x14ac:dyDescent="0.35">
      <c r="A455" s="16">
        <v>61.9</v>
      </c>
      <c r="B455" s="17" t="s">
        <v>20</v>
      </c>
      <c r="C455" s="18">
        <v>85.4</v>
      </c>
      <c r="E455" s="4">
        <f t="shared" si="7"/>
        <v>73.650000000000006</v>
      </c>
    </row>
    <row r="456" spans="1:5" x14ac:dyDescent="0.35">
      <c r="A456" s="13">
        <v>55</v>
      </c>
      <c r="B456" s="14" t="s">
        <v>20</v>
      </c>
      <c r="C456" s="15">
        <v>80.7</v>
      </c>
      <c r="E456" s="4">
        <f t="shared" si="7"/>
        <v>67.849999999999994</v>
      </c>
    </row>
    <row r="457" spans="1:5" x14ac:dyDescent="0.35">
      <c r="A457" s="16">
        <v>63.3</v>
      </c>
      <c r="B457" s="17" t="s">
        <v>22</v>
      </c>
      <c r="C457" s="18">
        <v>72.7</v>
      </c>
      <c r="E457" s="4">
        <f t="shared" si="7"/>
        <v>68</v>
      </c>
    </row>
    <row r="458" spans="1:5" x14ac:dyDescent="0.35">
      <c r="A458" s="13">
        <v>53.2</v>
      </c>
      <c r="B458" s="14" t="s">
        <v>21</v>
      </c>
      <c r="C458" s="15">
        <v>68.8</v>
      </c>
      <c r="E458" s="4">
        <f t="shared" si="7"/>
        <v>61</v>
      </c>
    </row>
    <row r="459" spans="1:5" x14ac:dyDescent="0.35">
      <c r="A459" s="16">
        <v>95.1</v>
      </c>
      <c r="B459" s="17" t="s">
        <v>20</v>
      </c>
      <c r="C459" s="18">
        <v>89.9</v>
      </c>
      <c r="E459" s="4">
        <f t="shared" si="7"/>
        <v>92.5</v>
      </c>
    </row>
    <row r="460" spans="1:5" x14ac:dyDescent="0.35">
      <c r="A460" s="13">
        <v>69.7</v>
      </c>
      <c r="B460" s="14" t="s">
        <v>20</v>
      </c>
      <c r="C460" s="15">
        <v>83.3</v>
      </c>
      <c r="E460" s="4">
        <f t="shared" si="7"/>
        <v>76.5</v>
      </c>
    </row>
    <row r="461" spans="1:5" x14ac:dyDescent="0.35">
      <c r="A461" s="16">
        <v>69.3</v>
      </c>
      <c r="B461" s="17" t="s">
        <v>20</v>
      </c>
      <c r="C461" s="18">
        <v>86.8</v>
      </c>
      <c r="E461" s="4">
        <f t="shared" si="7"/>
        <v>78.05</v>
      </c>
    </row>
    <row r="462" spans="1:5" x14ac:dyDescent="0.35">
      <c r="A462" s="13">
        <v>77.099999999999994</v>
      </c>
      <c r="B462" s="14" t="s">
        <v>16</v>
      </c>
      <c r="C462" s="15">
        <v>98.2</v>
      </c>
      <c r="E462" s="4">
        <f t="shared" si="7"/>
        <v>87.65</v>
      </c>
    </row>
    <row r="463" spans="1:5" x14ac:dyDescent="0.35">
      <c r="A463" s="16">
        <v>81.5</v>
      </c>
      <c r="B463" s="17" t="s">
        <v>16</v>
      </c>
      <c r="C463" s="18">
        <v>100</v>
      </c>
      <c r="E463" s="4">
        <f t="shared" si="7"/>
        <v>90.75</v>
      </c>
    </row>
    <row r="464" spans="1:5" x14ac:dyDescent="0.35">
      <c r="A464" s="13">
        <v>81.400000000000006</v>
      </c>
      <c r="B464" s="14" t="s">
        <v>16</v>
      </c>
      <c r="C464" s="15">
        <v>95.1</v>
      </c>
      <c r="E464" s="4">
        <f t="shared" si="7"/>
        <v>88.25</v>
      </c>
    </row>
    <row r="465" spans="1:5" x14ac:dyDescent="0.35">
      <c r="A465" s="16">
        <v>82.9</v>
      </c>
      <c r="B465" s="17" t="s">
        <v>16</v>
      </c>
      <c r="C465" s="18">
        <v>93.5</v>
      </c>
      <c r="E465" s="4">
        <f t="shared" si="7"/>
        <v>88.2</v>
      </c>
    </row>
    <row r="466" spans="1:5" x14ac:dyDescent="0.35">
      <c r="A466" s="13">
        <v>62.4</v>
      </c>
      <c r="B466" s="14" t="s">
        <v>21</v>
      </c>
      <c r="C466" s="15">
        <v>63.2</v>
      </c>
      <c r="E466" s="4">
        <f t="shared" si="7"/>
        <v>62.8</v>
      </c>
    </row>
    <row r="467" spans="1:5" x14ac:dyDescent="0.35">
      <c r="A467" s="16">
        <v>66.400000000000006</v>
      </c>
      <c r="B467" s="17" t="s">
        <v>16</v>
      </c>
      <c r="C467" s="18">
        <v>100</v>
      </c>
      <c r="E467" s="4">
        <f t="shared" si="7"/>
        <v>83.2</v>
      </c>
    </row>
    <row r="468" spans="1:5" x14ac:dyDescent="0.35">
      <c r="A468" s="13">
        <v>79.2</v>
      </c>
      <c r="B468" s="14" t="s">
        <v>22</v>
      </c>
      <c r="C468" s="15">
        <v>77.099999999999994</v>
      </c>
      <c r="E468" s="4">
        <f t="shared" si="7"/>
        <v>78.150000000000006</v>
      </c>
    </row>
    <row r="469" spans="1:5" x14ac:dyDescent="0.35">
      <c r="A469" s="16">
        <v>63.7</v>
      </c>
      <c r="B469" s="17" t="s">
        <v>20</v>
      </c>
      <c r="C469" s="18">
        <v>88.8</v>
      </c>
      <c r="E469" s="4">
        <f t="shared" si="7"/>
        <v>76.25</v>
      </c>
    </row>
    <row r="470" spans="1:5" x14ac:dyDescent="0.35">
      <c r="A470" s="13">
        <v>69.900000000000006</v>
      </c>
      <c r="B470" s="14" t="s">
        <v>16</v>
      </c>
      <c r="C470" s="15">
        <v>100</v>
      </c>
      <c r="E470" s="4">
        <f t="shared" si="7"/>
        <v>84.95</v>
      </c>
    </row>
    <row r="471" spans="1:5" x14ac:dyDescent="0.35">
      <c r="A471" s="16">
        <v>74.8</v>
      </c>
      <c r="B471" s="17" t="s">
        <v>20</v>
      </c>
      <c r="C471" s="18">
        <v>89.9</v>
      </c>
      <c r="E471" s="4">
        <f t="shared" si="7"/>
        <v>82.35</v>
      </c>
    </row>
    <row r="472" spans="1:5" x14ac:dyDescent="0.35">
      <c r="A472" s="13">
        <v>79.400000000000006</v>
      </c>
      <c r="B472" s="14" t="s">
        <v>20</v>
      </c>
      <c r="C472" s="15">
        <v>87.6</v>
      </c>
      <c r="E472" s="4">
        <f t="shared" si="7"/>
        <v>83.5</v>
      </c>
    </row>
    <row r="473" spans="1:5" x14ac:dyDescent="0.35">
      <c r="A473" s="16">
        <v>48.7</v>
      </c>
      <c r="B473" s="17" t="s">
        <v>21</v>
      </c>
      <c r="C473" s="18">
        <v>68</v>
      </c>
      <c r="E473" s="4">
        <f t="shared" si="7"/>
        <v>58.35</v>
      </c>
    </row>
    <row r="474" spans="1:5" x14ac:dyDescent="0.35">
      <c r="A474" s="13">
        <v>78.599999999999994</v>
      </c>
      <c r="B474" s="14" t="s">
        <v>20</v>
      </c>
      <c r="C474" s="15">
        <v>82.2</v>
      </c>
      <c r="E474" s="4">
        <f t="shared" si="7"/>
        <v>80.400000000000006</v>
      </c>
    </row>
    <row r="475" spans="1:5" x14ac:dyDescent="0.35">
      <c r="A475" s="16">
        <v>67.2</v>
      </c>
      <c r="B475" s="17" t="s">
        <v>16</v>
      </c>
      <c r="C475" s="18">
        <v>94</v>
      </c>
      <c r="E475" s="4">
        <f t="shared" si="7"/>
        <v>80.599999999999994</v>
      </c>
    </row>
    <row r="476" spans="1:5" x14ac:dyDescent="0.35">
      <c r="A476" s="13">
        <v>78.5</v>
      </c>
      <c r="B476" s="14" t="s">
        <v>16</v>
      </c>
      <c r="C476" s="15">
        <v>90.9</v>
      </c>
      <c r="E476" s="4">
        <f t="shared" si="7"/>
        <v>84.7</v>
      </c>
    </row>
    <row r="477" spans="1:5" x14ac:dyDescent="0.35">
      <c r="A477" s="16">
        <v>79.3</v>
      </c>
      <c r="B477" s="17" t="s">
        <v>20</v>
      </c>
      <c r="C477" s="18">
        <v>85</v>
      </c>
      <c r="E477" s="4">
        <f t="shared" si="7"/>
        <v>82.15</v>
      </c>
    </row>
    <row r="478" spans="1:5" x14ac:dyDescent="0.35">
      <c r="A478" s="13">
        <v>89.3</v>
      </c>
      <c r="B478" s="14" t="s">
        <v>16</v>
      </c>
      <c r="C478" s="15">
        <v>100</v>
      </c>
      <c r="E478" s="4">
        <f t="shared" si="7"/>
        <v>94.65</v>
      </c>
    </row>
    <row r="479" spans="1:5" x14ac:dyDescent="0.35">
      <c r="A479" s="16">
        <v>86.2</v>
      </c>
      <c r="B479" s="17" t="s">
        <v>16</v>
      </c>
      <c r="C479" s="18">
        <v>100</v>
      </c>
      <c r="E479" s="4">
        <f t="shared" si="7"/>
        <v>93.1</v>
      </c>
    </row>
    <row r="480" spans="1:5" x14ac:dyDescent="0.35">
      <c r="A480" s="13">
        <v>86.2</v>
      </c>
      <c r="B480" s="14" t="s">
        <v>20</v>
      </c>
      <c r="C480" s="15">
        <v>87.4</v>
      </c>
      <c r="E480" s="4">
        <f t="shared" si="7"/>
        <v>86.800000000000011</v>
      </c>
    </row>
    <row r="481" spans="1:5" x14ac:dyDescent="0.35">
      <c r="A481" s="16">
        <v>87.3</v>
      </c>
      <c r="B481" s="17" t="s">
        <v>20</v>
      </c>
      <c r="C481" s="18">
        <v>84.8</v>
      </c>
      <c r="E481" s="4">
        <f t="shared" si="7"/>
        <v>86.05</v>
      </c>
    </row>
    <row r="482" spans="1:5" x14ac:dyDescent="0.35">
      <c r="A482" s="13">
        <v>73.5</v>
      </c>
      <c r="B482" s="14" t="s">
        <v>20</v>
      </c>
      <c r="C482" s="15">
        <v>89.5</v>
      </c>
      <c r="E482" s="4">
        <f t="shared" si="7"/>
        <v>81.5</v>
      </c>
    </row>
    <row r="483" spans="1:5" x14ac:dyDescent="0.35">
      <c r="A483" s="16">
        <v>70.400000000000006</v>
      </c>
      <c r="B483" s="17" t="s">
        <v>16</v>
      </c>
      <c r="C483" s="18">
        <v>92.3</v>
      </c>
      <c r="E483" s="4">
        <f t="shared" si="7"/>
        <v>81.349999999999994</v>
      </c>
    </row>
    <row r="484" spans="1:5" x14ac:dyDescent="0.35">
      <c r="A484" s="13">
        <v>80.5</v>
      </c>
      <c r="B484" s="14" t="s">
        <v>20</v>
      </c>
      <c r="C484" s="15">
        <v>86.6</v>
      </c>
      <c r="E484" s="4">
        <f t="shared" si="7"/>
        <v>83.55</v>
      </c>
    </row>
    <row r="485" spans="1:5" x14ac:dyDescent="0.35">
      <c r="A485" s="16">
        <v>78.8</v>
      </c>
      <c r="B485" s="17" t="s">
        <v>16</v>
      </c>
      <c r="C485" s="18">
        <v>100</v>
      </c>
      <c r="E485" s="4">
        <f t="shared" si="7"/>
        <v>89.4</v>
      </c>
    </row>
    <row r="486" spans="1:5" x14ac:dyDescent="0.35">
      <c r="A486" s="13">
        <v>66.3</v>
      </c>
      <c r="B486" s="14" t="s">
        <v>22</v>
      </c>
      <c r="C486" s="15">
        <v>75.7</v>
      </c>
      <c r="E486" s="4">
        <f t="shared" si="7"/>
        <v>71</v>
      </c>
    </row>
    <row r="487" spans="1:5" x14ac:dyDescent="0.35">
      <c r="A487" s="16">
        <v>74.900000000000006</v>
      </c>
      <c r="B487" s="17" t="s">
        <v>20</v>
      </c>
      <c r="C487" s="18">
        <v>87.3</v>
      </c>
      <c r="E487" s="4">
        <f t="shared" si="7"/>
        <v>81.099999999999994</v>
      </c>
    </row>
    <row r="488" spans="1:5" x14ac:dyDescent="0.35">
      <c r="A488" s="13">
        <v>69.599999999999994</v>
      </c>
      <c r="B488" s="14" t="s">
        <v>21</v>
      </c>
      <c r="C488" s="15">
        <v>66.599999999999994</v>
      </c>
      <c r="E488" s="4">
        <f t="shared" si="7"/>
        <v>68.099999999999994</v>
      </c>
    </row>
    <row r="489" spans="1:5" x14ac:dyDescent="0.35">
      <c r="A489" s="16">
        <v>59.8</v>
      </c>
      <c r="B489" s="17" t="s">
        <v>22</v>
      </c>
      <c r="C489" s="18">
        <v>74.099999999999994</v>
      </c>
      <c r="E489" s="4">
        <f t="shared" si="7"/>
        <v>66.949999999999989</v>
      </c>
    </row>
    <row r="490" spans="1:5" x14ac:dyDescent="0.35">
      <c r="A490" s="13">
        <v>85.5</v>
      </c>
      <c r="B490" s="14" t="s">
        <v>16</v>
      </c>
      <c r="C490" s="15">
        <v>100</v>
      </c>
      <c r="E490" s="4">
        <f t="shared" si="7"/>
        <v>92.75</v>
      </c>
    </row>
    <row r="491" spans="1:5" x14ac:dyDescent="0.35">
      <c r="A491" s="16">
        <v>70.7</v>
      </c>
      <c r="B491" s="17" t="s">
        <v>16</v>
      </c>
      <c r="C491" s="18">
        <v>100</v>
      </c>
      <c r="E491" s="4">
        <f t="shared" si="7"/>
        <v>85.35</v>
      </c>
    </row>
    <row r="492" spans="1:5" x14ac:dyDescent="0.35">
      <c r="A492" s="13">
        <v>94.6</v>
      </c>
      <c r="B492" s="14" t="s">
        <v>22</v>
      </c>
      <c r="C492" s="15">
        <v>74.3</v>
      </c>
      <c r="E492" s="4">
        <f t="shared" si="7"/>
        <v>84.449999999999989</v>
      </c>
    </row>
    <row r="493" spans="1:5" x14ac:dyDescent="0.35">
      <c r="A493" s="16">
        <v>50.5</v>
      </c>
      <c r="B493" s="17" t="s">
        <v>22</v>
      </c>
      <c r="C493" s="18">
        <v>71.099999999999994</v>
      </c>
      <c r="E493" s="4">
        <f t="shared" si="7"/>
        <v>60.8</v>
      </c>
    </row>
    <row r="494" spans="1:5" x14ac:dyDescent="0.35">
      <c r="A494" s="13">
        <v>63.3</v>
      </c>
      <c r="B494" s="14" t="s">
        <v>21</v>
      </c>
      <c r="C494" s="15">
        <v>66.7</v>
      </c>
      <c r="E494" s="4">
        <f t="shared" si="7"/>
        <v>65</v>
      </c>
    </row>
    <row r="495" spans="1:5" x14ac:dyDescent="0.35">
      <c r="A495" s="16">
        <v>70.400000000000006</v>
      </c>
      <c r="B495" s="17" t="s">
        <v>20</v>
      </c>
      <c r="C495" s="18">
        <v>82.1</v>
      </c>
      <c r="E495" s="4">
        <f t="shared" si="7"/>
        <v>76.25</v>
      </c>
    </row>
    <row r="496" spans="1:5" x14ac:dyDescent="0.35">
      <c r="A496" s="13">
        <v>83.6</v>
      </c>
      <c r="B496" s="14" t="s">
        <v>20</v>
      </c>
      <c r="C496" s="15">
        <v>88.5</v>
      </c>
      <c r="E496" s="4">
        <f t="shared" si="7"/>
        <v>86.05</v>
      </c>
    </row>
    <row r="497" spans="1:5" x14ac:dyDescent="0.35">
      <c r="A497" s="16">
        <v>74.8</v>
      </c>
      <c r="B497" s="17" t="s">
        <v>22</v>
      </c>
      <c r="C497" s="18">
        <v>79.400000000000006</v>
      </c>
      <c r="E497" s="4">
        <f t="shared" si="7"/>
        <v>77.099999999999994</v>
      </c>
    </row>
    <row r="498" spans="1:5" x14ac:dyDescent="0.35">
      <c r="A498" s="13">
        <v>73.7</v>
      </c>
      <c r="B498" s="14" t="s">
        <v>22</v>
      </c>
      <c r="C498" s="15">
        <v>71</v>
      </c>
      <c r="E498" s="4">
        <f t="shared" si="7"/>
        <v>72.349999999999994</v>
      </c>
    </row>
    <row r="499" spans="1:5" x14ac:dyDescent="0.35">
      <c r="A499" s="16">
        <v>56.5</v>
      </c>
      <c r="B499" s="17" t="s">
        <v>20</v>
      </c>
      <c r="C499" s="18">
        <v>85.4</v>
      </c>
      <c r="E499" s="4">
        <f t="shared" si="7"/>
        <v>70.95</v>
      </c>
    </row>
    <row r="500" spans="1:5" x14ac:dyDescent="0.35">
      <c r="A500" s="13">
        <v>56.1</v>
      </c>
      <c r="B500" s="14" t="s">
        <v>21</v>
      </c>
      <c r="C500" s="15">
        <v>61.8</v>
      </c>
      <c r="E500" s="4">
        <f t="shared" si="7"/>
        <v>58.95</v>
      </c>
    </row>
    <row r="501" spans="1:5" x14ac:dyDescent="0.35">
      <c r="A501" s="16">
        <v>73.900000000000006</v>
      </c>
      <c r="B501" s="17" t="s">
        <v>16</v>
      </c>
      <c r="C501" s="18">
        <v>99.6</v>
      </c>
      <c r="E501" s="4">
        <f t="shared" si="7"/>
        <v>86.75</v>
      </c>
    </row>
    <row r="502" spans="1:5" x14ac:dyDescent="0.35">
      <c r="A502" s="13">
        <v>53.6</v>
      </c>
      <c r="B502" s="14" t="s">
        <v>22</v>
      </c>
      <c r="C502" s="15">
        <v>76.099999999999994</v>
      </c>
      <c r="E502" s="4">
        <f t="shared" si="7"/>
        <v>64.849999999999994</v>
      </c>
    </row>
    <row r="503" spans="1:5" x14ac:dyDescent="0.35">
      <c r="A503" s="16">
        <v>63.6</v>
      </c>
      <c r="B503" s="17" t="s">
        <v>16</v>
      </c>
      <c r="C503" s="18">
        <v>90.4</v>
      </c>
      <c r="E503" s="4">
        <f t="shared" si="7"/>
        <v>77</v>
      </c>
    </row>
    <row r="504" spans="1:5" x14ac:dyDescent="0.35">
      <c r="A504" s="13">
        <v>76</v>
      </c>
      <c r="B504" s="14" t="s">
        <v>16</v>
      </c>
      <c r="C504" s="15">
        <v>93.3</v>
      </c>
      <c r="E504" s="4">
        <f t="shared" si="7"/>
        <v>84.65</v>
      </c>
    </row>
    <row r="505" spans="1:5" x14ac:dyDescent="0.35">
      <c r="A505" s="16">
        <v>58.2</v>
      </c>
      <c r="B505" s="17" t="s">
        <v>20</v>
      </c>
      <c r="C505" s="18">
        <v>88.9</v>
      </c>
      <c r="E505" s="4">
        <f t="shared" si="7"/>
        <v>73.550000000000011</v>
      </c>
    </row>
    <row r="506" spans="1:5" x14ac:dyDescent="0.35">
      <c r="A506" s="13">
        <v>89.3</v>
      </c>
      <c r="B506" s="14" t="s">
        <v>16</v>
      </c>
      <c r="C506" s="15">
        <v>99</v>
      </c>
      <c r="E506" s="4">
        <f t="shared" si="7"/>
        <v>94.15</v>
      </c>
    </row>
    <row r="507" spans="1:5" x14ac:dyDescent="0.35">
      <c r="A507" s="16">
        <v>84.7</v>
      </c>
      <c r="B507" s="17" t="s">
        <v>16</v>
      </c>
      <c r="C507" s="18">
        <v>100</v>
      </c>
      <c r="E507" s="4">
        <f t="shared" si="7"/>
        <v>92.35</v>
      </c>
    </row>
    <row r="508" spans="1:5" x14ac:dyDescent="0.35">
      <c r="A508" s="13">
        <v>51.1</v>
      </c>
      <c r="B508" s="14" t="s">
        <v>22</v>
      </c>
      <c r="C508" s="15">
        <v>74.5</v>
      </c>
      <c r="E508" s="4">
        <f t="shared" si="7"/>
        <v>62.8</v>
      </c>
    </row>
    <row r="509" spans="1:5" x14ac:dyDescent="0.35">
      <c r="A509" s="16">
        <v>58.8</v>
      </c>
      <c r="B509" s="17" t="s">
        <v>22</v>
      </c>
      <c r="C509" s="18">
        <v>72.8</v>
      </c>
      <c r="E509" s="4">
        <f t="shared" si="7"/>
        <v>65.8</v>
      </c>
    </row>
    <row r="510" spans="1:5" x14ac:dyDescent="0.35">
      <c r="A510" s="13">
        <v>42.6</v>
      </c>
      <c r="B510" s="14" t="s">
        <v>22</v>
      </c>
      <c r="C510" s="15">
        <v>76.099999999999994</v>
      </c>
      <c r="E510" s="4">
        <f t="shared" si="7"/>
        <v>59.349999999999994</v>
      </c>
    </row>
    <row r="511" spans="1:5" x14ac:dyDescent="0.35">
      <c r="A511" s="16">
        <v>60.6</v>
      </c>
      <c r="B511" s="17" t="s">
        <v>16</v>
      </c>
      <c r="C511" s="18">
        <v>99.5</v>
      </c>
      <c r="E511" s="4">
        <f t="shared" si="7"/>
        <v>80.05</v>
      </c>
    </row>
    <row r="512" spans="1:5" x14ac:dyDescent="0.35">
      <c r="A512" s="13">
        <v>79.2</v>
      </c>
      <c r="B512" s="14" t="s">
        <v>22</v>
      </c>
      <c r="C512" s="15">
        <v>79.900000000000006</v>
      </c>
      <c r="E512" s="4">
        <f t="shared" si="7"/>
        <v>79.550000000000011</v>
      </c>
    </row>
    <row r="513" spans="1:5" x14ac:dyDescent="0.35">
      <c r="A513" s="16">
        <v>65</v>
      </c>
      <c r="B513" s="17" t="s">
        <v>20</v>
      </c>
      <c r="C513" s="18">
        <v>88.2</v>
      </c>
      <c r="E513" s="4">
        <f t="shared" si="7"/>
        <v>76.599999999999994</v>
      </c>
    </row>
    <row r="514" spans="1:5" x14ac:dyDescent="0.35">
      <c r="A514" s="13">
        <v>75.5</v>
      </c>
      <c r="B514" s="14" t="s">
        <v>20</v>
      </c>
      <c r="C514" s="15">
        <v>88.9</v>
      </c>
      <c r="E514" s="4">
        <f t="shared" si="7"/>
        <v>82.2</v>
      </c>
    </row>
    <row r="515" spans="1:5" x14ac:dyDescent="0.35">
      <c r="A515" s="16">
        <v>51.7</v>
      </c>
      <c r="B515" s="17" t="s">
        <v>22</v>
      </c>
      <c r="C515" s="18">
        <v>77.900000000000006</v>
      </c>
      <c r="E515" s="4">
        <f t="shared" ref="E515:E578" si="8">(A515+C515)/2</f>
        <v>64.800000000000011</v>
      </c>
    </row>
    <row r="516" spans="1:5" x14ac:dyDescent="0.35">
      <c r="A516" s="13">
        <v>79.599999999999994</v>
      </c>
      <c r="B516" s="14" t="s">
        <v>16</v>
      </c>
      <c r="C516" s="15">
        <v>97.2</v>
      </c>
      <c r="E516" s="4">
        <f t="shared" si="8"/>
        <v>88.4</v>
      </c>
    </row>
    <row r="517" spans="1:5" x14ac:dyDescent="0.35">
      <c r="A517" s="16">
        <v>63.3</v>
      </c>
      <c r="B517" s="17" t="s">
        <v>22</v>
      </c>
      <c r="C517" s="18">
        <v>79.3</v>
      </c>
      <c r="E517" s="4">
        <f t="shared" si="8"/>
        <v>71.3</v>
      </c>
    </row>
    <row r="518" spans="1:5" x14ac:dyDescent="0.35">
      <c r="A518" s="13">
        <v>70.099999999999994</v>
      </c>
      <c r="B518" s="14" t="s">
        <v>20</v>
      </c>
      <c r="C518" s="15">
        <v>84.2</v>
      </c>
      <c r="E518" s="4">
        <f t="shared" si="8"/>
        <v>77.150000000000006</v>
      </c>
    </row>
    <row r="519" spans="1:5" x14ac:dyDescent="0.35">
      <c r="A519" s="16">
        <v>68.900000000000006</v>
      </c>
      <c r="B519" s="17" t="s">
        <v>20</v>
      </c>
      <c r="C519" s="18">
        <v>86.3</v>
      </c>
      <c r="E519" s="4">
        <f t="shared" si="8"/>
        <v>77.599999999999994</v>
      </c>
    </row>
    <row r="520" spans="1:5" x14ac:dyDescent="0.35">
      <c r="A520" s="13">
        <v>54.7</v>
      </c>
      <c r="B520" s="14" t="s">
        <v>21</v>
      </c>
      <c r="C520" s="15">
        <v>67.599999999999994</v>
      </c>
      <c r="E520" s="4">
        <f t="shared" si="8"/>
        <v>61.15</v>
      </c>
    </row>
    <row r="521" spans="1:5" x14ac:dyDescent="0.35">
      <c r="A521" s="16">
        <v>56.2</v>
      </c>
      <c r="B521" s="17" t="s">
        <v>20</v>
      </c>
      <c r="C521" s="18">
        <v>80.7</v>
      </c>
      <c r="E521" s="4">
        <f t="shared" si="8"/>
        <v>68.45</v>
      </c>
    </row>
    <row r="522" spans="1:5" x14ac:dyDescent="0.35">
      <c r="A522" s="13">
        <v>81.599999999999994</v>
      </c>
      <c r="B522" s="14" t="s">
        <v>21</v>
      </c>
      <c r="C522" s="15">
        <v>64.7</v>
      </c>
      <c r="E522" s="4">
        <f t="shared" si="8"/>
        <v>73.150000000000006</v>
      </c>
    </row>
    <row r="523" spans="1:5" x14ac:dyDescent="0.35">
      <c r="A523" s="16">
        <v>74.8</v>
      </c>
      <c r="B523" s="17" t="s">
        <v>22</v>
      </c>
      <c r="C523" s="18">
        <v>71.8</v>
      </c>
      <c r="E523" s="4">
        <f t="shared" si="8"/>
        <v>73.3</v>
      </c>
    </row>
    <row r="524" spans="1:5" x14ac:dyDescent="0.35">
      <c r="A524" s="13">
        <v>82.6</v>
      </c>
      <c r="B524" s="14" t="s">
        <v>20</v>
      </c>
      <c r="C524" s="15">
        <v>84.9</v>
      </c>
      <c r="E524" s="4">
        <f t="shared" si="8"/>
        <v>83.75</v>
      </c>
    </row>
    <row r="525" spans="1:5" x14ac:dyDescent="0.35">
      <c r="A525" s="16">
        <v>73.900000000000006</v>
      </c>
      <c r="B525" s="17" t="s">
        <v>16</v>
      </c>
      <c r="C525" s="18">
        <v>100</v>
      </c>
      <c r="E525" s="4">
        <f t="shared" si="8"/>
        <v>86.95</v>
      </c>
    </row>
    <row r="526" spans="1:5" x14ac:dyDescent="0.35">
      <c r="A526" s="13">
        <v>71.7</v>
      </c>
      <c r="B526" s="14" t="s">
        <v>20</v>
      </c>
      <c r="C526" s="15">
        <v>82.4</v>
      </c>
      <c r="E526" s="4">
        <f t="shared" si="8"/>
        <v>77.050000000000011</v>
      </c>
    </row>
    <row r="527" spans="1:5" x14ac:dyDescent="0.35">
      <c r="A527" s="16">
        <v>49.3</v>
      </c>
      <c r="B527" s="17" t="s">
        <v>20</v>
      </c>
      <c r="C527" s="18">
        <v>87.3</v>
      </c>
      <c r="E527" s="4">
        <f t="shared" si="8"/>
        <v>68.3</v>
      </c>
    </row>
    <row r="528" spans="1:5" x14ac:dyDescent="0.35">
      <c r="A528" s="13">
        <v>66.8</v>
      </c>
      <c r="B528" s="14" t="s">
        <v>20</v>
      </c>
      <c r="C528" s="15">
        <v>84.8</v>
      </c>
      <c r="E528" s="4">
        <f t="shared" si="8"/>
        <v>75.8</v>
      </c>
    </row>
    <row r="529" spans="1:5" x14ac:dyDescent="0.35">
      <c r="A529" s="16">
        <v>69.7</v>
      </c>
      <c r="B529" s="17" t="s">
        <v>16</v>
      </c>
      <c r="C529" s="18">
        <v>96.4</v>
      </c>
      <c r="E529" s="4">
        <f t="shared" si="8"/>
        <v>83.050000000000011</v>
      </c>
    </row>
    <row r="530" spans="1:5" x14ac:dyDescent="0.35">
      <c r="A530" s="13">
        <v>93.4</v>
      </c>
      <c r="B530" s="14" t="s">
        <v>20</v>
      </c>
      <c r="C530" s="15">
        <v>84.3</v>
      </c>
      <c r="E530" s="4">
        <f t="shared" si="8"/>
        <v>88.85</v>
      </c>
    </row>
    <row r="531" spans="1:5" x14ac:dyDescent="0.35">
      <c r="A531" s="16">
        <v>78.2</v>
      </c>
      <c r="B531" s="17" t="s">
        <v>20</v>
      </c>
      <c r="C531" s="18">
        <v>84.5</v>
      </c>
      <c r="E531" s="4">
        <f t="shared" si="8"/>
        <v>81.349999999999994</v>
      </c>
    </row>
    <row r="532" spans="1:5" x14ac:dyDescent="0.35">
      <c r="A532" s="13">
        <v>88.4</v>
      </c>
      <c r="B532" s="14" t="s">
        <v>16</v>
      </c>
      <c r="C532" s="15">
        <v>94.7</v>
      </c>
      <c r="E532" s="4">
        <f t="shared" si="8"/>
        <v>91.550000000000011</v>
      </c>
    </row>
    <row r="533" spans="1:5" x14ac:dyDescent="0.35">
      <c r="A533" s="16">
        <v>77.2</v>
      </c>
      <c r="B533" s="17" t="s">
        <v>20</v>
      </c>
      <c r="C533" s="18">
        <v>89.6</v>
      </c>
      <c r="E533" s="4">
        <f t="shared" si="8"/>
        <v>83.4</v>
      </c>
    </row>
    <row r="534" spans="1:5" x14ac:dyDescent="0.35">
      <c r="A534" s="13">
        <v>61.5</v>
      </c>
      <c r="B534" s="14" t="s">
        <v>21</v>
      </c>
      <c r="C534" s="15">
        <v>68.599999999999994</v>
      </c>
      <c r="E534" s="4">
        <f t="shared" si="8"/>
        <v>65.05</v>
      </c>
    </row>
    <row r="535" spans="1:5" x14ac:dyDescent="0.35">
      <c r="A535" s="16">
        <v>71.400000000000006</v>
      </c>
      <c r="B535" s="17" t="s">
        <v>16</v>
      </c>
      <c r="C535" s="18">
        <v>92.8</v>
      </c>
      <c r="E535" s="4">
        <f t="shared" si="8"/>
        <v>82.1</v>
      </c>
    </row>
    <row r="536" spans="1:5" x14ac:dyDescent="0.35">
      <c r="A536" s="13">
        <v>72.8</v>
      </c>
      <c r="B536" s="14" t="s">
        <v>20</v>
      </c>
      <c r="C536" s="15">
        <v>80.7</v>
      </c>
      <c r="E536" s="4">
        <f t="shared" si="8"/>
        <v>76.75</v>
      </c>
    </row>
    <row r="537" spans="1:5" x14ac:dyDescent="0.35">
      <c r="A537" s="16">
        <v>58.7</v>
      </c>
      <c r="B537" s="17" t="s">
        <v>22</v>
      </c>
      <c r="C537" s="18">
        <v>77.599999999999994</v>
      </c>
      <c r="E537" s="4">
        <f t="shared" si="8"/>
        <v>68.150000000000006</v>
      </c>
    </row>
    <row r="538" spans="1:5" x14ac:dyDescent="0.35">
      <c r="A538" s="13">
        <v>65.400000000000006</v>
      </c>
      <c r="B538" s="14" t="s">
        <v>20</v>
      </c>
      <c r="C538" s="15">
        <v>87.7</v>
      </c>
      <c r="E538" s="4">
        <f t="shared" si="8"/>
        <v>76.550000000000011</v>
      </c>
    </row>
    <row r="539" spans="1:5" x14ac:dyDescent="0.35">
      <c r="A539" s="16">
        <v>67.5</v>
      </c>
      <c r="B539" s="17" t="s">
        <v>20</v>
      </c>
      <c r="C539" s="18">
        <v>86</v>
      </c>
      <c r="E539" s="4">
        <f t="shared" si="8"/>
        <v>76.75</v>
      </c>
    </row>
    <row r="540" spans="1:5" x14ac:dyDescent="0.35">
      <c r="A540" s="13">
        <v>89.3</v>
      </c>
      <c r="B540" s="14" t="s">
        <v>16</v>
      </c>
      <c r="C540" s="15">
        <v>100</v>
      </c>
      <c r="E540" s="4">
        <f t="shared" si="8"/>
        <v>94.65</v>
      </c>
    </row>
    <row r="541" spans="1:5" x14ac:dyDescent="0.35">
      <c r="A541" s="16">
        <v>45</v>
      </c>
      <c r="B541" s="17" t="s">
        <v>25</v>
      </c>
      <c r="C541" s="18">
        <v>57.3</v>
      </c>
      <c r="E541" s="4">
        <f t="shared" si="8"/>
        <v>51.15</v>
      </c>
    </row>
    <row r="542" spans="1:5" x14ac:dyDescent="0.35">
      <c r="A542" s="13">
        <v>84.5</v>
      </c>
      <c r="B542" s="14" t="s">
        <v>22</v>
      </c>
      <c r="C542" s="15">
        <v>75.599999999999994</v>
      </c>
      <c r="E542" s="4">
        <f t="shared" si="8"/>
        <v>80.05</v>
      </c>
    </row>
    <row r="543" spans="1:5" x14ac:dyDescent="0.35">
      <c r="A543" s="16">
        <v>58.8</v>
      </c>
      <c r="B543" s="17" t="s">
        <v>20</v>
      </c>
      <c r="C543" s="18">
        <v>87.3</v>
      </c>
      <c r="E543" s="4">
        <f t="shared" si="8"/>
        <v>73.05</v>
      </c>
    </row>
    <row r="544" spans="1:5" x14ac:dyDescent="0.35">
      <c r="A544" s="13">
        <v>53.5</v>
      </c>
      <c r="B544" s="14" t="s">
        <v>20</v>
      </c>
      <c r="C544" s="15">
        <v>88.8</v>
      </c>
      <c r="E544" s="4">
        <f t="shared" si="8"/>
        <v>71.150000000000006</v>
      </c>
    </row>
    <row r="545" spans="1:5" x14ac:dyDescent="0.35">
      <c r="A545" s="16">
        <v>84.2</v>
      </c>
      <c r="B545" s="17" t="s">
        <v>16</v>
      </c>
      <c r="C545" s="18">
        <v>91.8</v>
      </c>
      <c r="E545" s="4">
        <f t="shared" si="8"/>
        <v>88</v>
      </c>
    </row>
    <row r="546" spans="1:5" x14ac:dyDescent="0.35">
      <c r="A546" s="13">
        <v>78.8</v>
      </c>
      <c r="B546" s="14" t="s">
        <v>21</v>
      </c>
      <c r="C546" s="15">
        <v>66</v>
      </c>
      <c r="E546" s="4">
        <f t="shared" si="8"/>
        <v>72.400000000000006</v>
      </c>
    </row>
    <row r="547" spans="1:5" x14ac:dyDescent="0.35">
      <c r="A547" s="16">
        <v>85.1</v>
      </c>
      <c r="B547" s="17" t="s">
        <v>16</v>
      </c>
      <c r="C547" s="18">
        <v>100</v>
      </c>
      <c r="E547" s="4">
        <f t="shared" si="8"/>
        <v>92.55</v>
      </c>
    </row>
    <row r="548" spans="1:5" x14ac:dyDescent="0.35">
      <c r="A548" s="13">
        <v>79.599999999999994</v>
      </c>
      <c r="B548" s="14" t="s">
        <v>22</v>
      </c>
      <c r="C548" s="15">
        <v>71.099999999999994</v>
      </c>
      <c r="E548" s="4">
        <f t="shared" si="8"/>
        <v>75.349999999999994</v>
      </c>
    </row>
    <row r="549" spans="1:5" x14ac:dyDescent="0.35">
      <c r="A549" s="16">
        <v>94.7</v>
      </c>
      <c r="B549" s="17" t="s">
        <v>20</v>
      </c>
      <c r="C549" s="18">
        <v>88.8</v>
      </c>
      <c r="E549" s="4">
        <f t="shared" si="8"/>
        <v>91.75</v>
      </c>
    </row>
    <row r="550" spans="1:5" x14ac:dyDescent="0.35">
      <c r="A550" s="13">
        <v>76.7</v>
      </c>
      <c r="B550" s="14" t="s">
        <v>16</v>
      </c>
      <c r="C550" s="15">
        <v>100</v>
      </c>
      <c r="E550" s="4">
        <f t="shared" si="8"/>
        <v>88.35</v>
      </c>
    </row>
    <row r="551" spans="1:5" x14ac:dyDescent="0.35">
      <c r="A551" s="16">
        <v>68.099999999999994</v>
      </c>
      <c r="B551" s="17" t="s">
        <v>20</v>
      </c>
      <c r="C551" s="18">
        <v>85.2</v>
      </c>
      <c r="E551" s="4">
        <f t="shared" si="8"/>
        <v>76.650000000000006</v>
      </c>
    </row>
    <row r="552" spans="1:5" x14ac:dyDescent="0.35">
      <c r="A552" s="13">
        <v>74.099999999999994</v>
      </c>
      <c r="B552" s="14" t="s">
        <v>22</v>
      </c>
      <c r="C552" s="15">
        <v>75.400000000000006</v>
      </c>
      <c r="E552" s="4">
        <f t="shared" si="8"/>
        <v>74.75</v>
      </c>
    </row>
    <row r="553" spans="1:5" x14ac:dyDescent="0.35">
      <c r="A553" s="16">
        <v>84.9</v>
      </c>
      <c r="B553" s="17" t="s">
        <v>16</v>
      </c>
      <c r="C553" s="18">
        <v>100</v>
      </c>
      <c r="E553" s="4">
        <f t="shared" si="8"/>
        <v>92.45</v>
      </c>
    </row>
    <row r="554" spans="1:5" x14ac:dyDescent="0.35">
      <c r="A554" s="13">
        <v>60.6</v>
      </c>
      <c r="B554" s="14" t="s">
        <v>22</v>
      </c>
      <c r="C554" s="15">
        <v>78.900000000000006</v>
      </c>
      <c r="E554" s="4">
        <f t="shared" si="8"/>
        <v>69.75</v>
      </c>
    </row>
    <row r="555" spans="1:5" x14ac:dyDescent="0.35">
      <c r="A555" s="16">
        <v>62.2</v>
      </c>
      <c r="B555" s="17" t="s">
        <v>20</v>
      </c>
      <c r="C555" s="18">
        <v>83.4</v>
      </c>
      <c r="E555" s="4">
        <f t="shared" si="8"/>
        <v>72.800000000000011</v>
      </c>
    </row>
    <row r="556" spans="1:5" x14ac:dyDescent="0.35">
      <c r="A556" s="13">
        <v>66.3</v>
      </c>
      <c r="B556" s="14" t="s">
        <v>21</v>
      </c>
      <c r="C556" s="15">
        <v>63.4</v>
      </c>
      <c r="E556" s="4">
        <f t="shared" si="8"/>
        <v>64.849999999999994</v>
      </c>
    </row>
    <row r="557" spans="1:5" x14ac:dyDescent="0.35">
      <c r="A557" s="16">
        <v>44.7</v>
      </c>
      <c r="B557" s="17" t="s">
        <v>20</v>
      </c>
      <c r="C557" s="18">
        <v>80.7</v>
      </c>
      <c r="E557" s="4">
        <f t="shared" si="8"/>
        <v>62.7</v>
      </c>
    </row>
    <row r="558" spans="1:5" x14ac:dyDescent="0.35">
      <c r="A558" s="13">
        <v>71.7</v>
      </c>
      <c r="B558" s="14" t="s">
        <v>20</v>
      </c>
      <c r="C558" s="15">
        <v>80.8</v>
      </c>
      <c r="E558" s="4">
        <f t="shared" si="8"/>
        <v>76.25</v>
      </c>
    </row>
    <row r="559" spans="1:5" x14ac:dyDescent="0.35">
      <c r="A559" s="16">
        <v>47.4</v>
      </c>
      <c r="B559" s="17" t="s">
        <v>22</v>
      </c>
      <c r="C559" s="18">
        <v>73.099999999999994</v>
      </c>
      <c r="E559" s="4">
        <f t="shared" si="8"/>
        <v>60.25</v>
      </c>
    </row>
    <row r="560" spans="1:5" x14ac:dyDescent="0.35">
      <c r="A560" s="13">
        <v>70.599999999999994</v>
      </c>
      <c r="B560" s="14" t="s">
        <v>16</v>
      </c>
      <c r="C560" s="15">
        <v>99.8</v>
      </c>
      <c r="E560" s="4">
        <f t="shared" si="8"/>
        <v>85.199999999999989</v>
      </c>
    </row>
    <row r="561" spans="1:5" x14ac:dyDescent="0.35">
      <c r="A561" s="16">
        <v>80.400000000000006</v>
      </c>
      <c r="B561" s="17" t="s">
        <v>22</v>
      </c>
      <c r="C561" s="18">
        <v>73.5</v>
      </c>
      <c r="E561" s="4">
        <f t="shared" si="8"/>
        <v>76.95</v>
      </c>
    </row>
    <row r="562" spans="1:5" x14ac:dyDescent="0.35">
      <c r="A562" s="13">
        <v>64.3</v>
      </c>
      <c r="B562" s="14" t="s">
        <v>21</v>
      </c>
      <c r="C562" s="15">
        <v>68.2</v>
      </c>
      <c r="E562" s="4">
        <f t="shared" si="8"/>
        <v>66.25</v>
      </c>
    </row>
    <row r="563" spans="1:5" x14ac:dyDescent="0.35">
      <c r="A563" s="16">
        <v>90.1</v>
      </c>
      <c r="B563" s="17" t="s">
        <v>20</v>
      </c>
      <c r="C563" s="18">
        <v>83.9</v>
      </c>
      <c r="E563" s="4">
        <f t="shared" si="8"/>
        <v>87</v>
      </c>
    </row>
    <row r="564" spans="1:5" x14ac:dyDescent="0.35">
      <c r="A564" s="13">
        <v>52.5</v>
      </c>
      <c r="B564" s="14" t="s">
        <v>22</v>
      </c>
      <c r="C564" s="15">
        <v>75.3</v>
      </c>
      <c r="E564" s="4">
        <f t="shared" si="8"/>
        <v>63.9</v>
      </c>
    </row>
    <row r="565" spans="1:5" x14ac:dyDescent="0.35">
      <c r="A565" s="16">
        <v>84.3</v>
      </c>
      <c r="B565" s="17" t="s">
        <v>22</v>
      </c>
      <c r="C565" s="18">
        <v>78.7</v>
      </c>
      <c r="E565" s="4">
        <f t="shared" si="8"/>
        <v>81.5</v>
      </c>
    </row>
    <row r="566" spans="1:5" x14ac:dyDescent="0.35">
      <c r="A566" s="13">
        <v>78.099999999999994</v>
      </c>
      <c r="B566" s="14" t="s">
        <v>20</v>
      </c>
      <c r="C566" s="15">
        <v>82.8</v>
      </c>
      <c r="E566" s="4">
        <f t="shared" si="8"/>
        <v>80.449999999999989</v>
      </c>
    </row>
    <row r="567" spans="1:5" x14ac:dyDescent="0.35">
      <c r="A567" s="16">
        <v>49.4</v>
      </c>
      <c r="B567" s="17" t="s">
        <v>16</v>
      </c>
      <c r="C567" s="18">
        <v>100</v>
      </c>
      <c r="E567" s="4">
        <f t="shared" si="8"/>
        <v>74.7</v>
      </c>
    </row>
    <row r="568" spans="1:5" x14ac:dyDescent="0.35">
      <c r="A568" s="13">
        <v>100</v>
      </c>
      <c r="B568" s="14" t="s">
        <v>16</v>
      </c>
      <c r="C568" s="15">
        <v>92.6</v>
      </c>
      <c r="E568" s="4">
        <f t="shared" si="8"/>
        <v>96.3</v>
      </c>
    </row>
    <row r="569" spans="1:5" x14ac:dyDescent="0.35">
      <c r="A569" s="16">
        <v>69.2</v>
      </c>
      <c r="B569" s="17" t="s">
        <v>16</v>
      </c>
      <c r="C569" s="18">
        <v>99.1</v>
      </c>
      <c r="E569" s="4">
        <f t="shared" si="8"/>
        <v>84.15</v>
      </c>
    </row>
    <row r="570" spans="1:5" x14ac:dyDescent="0.35">
      <c r="A570" s="13">
        <v>59.5</v>
      </c>
      <c r="B570" s="14" t="s">
        <v>22</v>
      </c>
      <c r="C570" s="15">
        <v>76.2</v>
      </c>
      <c r="E570" s="4">
        <f t="shared" si="8"/>
        <v>67.849999999999994</v>
      </c>
    </row>
    <row r="571" spans="1:5" x14ac:dyDescent="0.35">
      <c r="A571" s="16">
        <v>53.1</v>
      </c>
      <c r="B571" s="17" t="s">
        <v>16</v>
      </c>
      <c r="C571" s="18">
        <v>90.9</v>
      </c>
      <c r="E571" s="4">
        <f t="shared" si="8"/>
        <v>72</v>
      </c>
    </row>
    <row r="572" spans="1:5" x14ac:dyDescent="0.35">
      <c r="A572" s="13">
        <v>67.400000000000006</v>
      </c>
      <c r="B572" s="14" t="s">
        <v>21</v>
      </c>
      <c r="C572" s="15">
        <v>63.3</v>
      </c>
      <c r="E572" s="4">
        <f t="shared" si="8"/>
        <v>65.349999999999994</v>
      </c>
    </row>
    <row r="573" spans="1:5" x14ac:dyDescent="0.35">
      <c r="A573" s="16">
        <v>68.5</v>
      </c>
      <c r="B573" s="17" t="s">
        <v>20</v>
      </c>
      <c r="C573" s="18">
        <v>85</v>
      </c>
      <c r="E573" s="4">
        <f t="shared" si="8"/>
        <v>76.75</v>
      </c>
    </row>
    <row r="574" spans="1:5" x14ac:dyDescent="0.35">
      <c r="A574" s="13">
        <v>71.2</v>
      </c>
      <c r="B574" s="14" t="s">
        <v>20</v>
      </c>
      <c r="C574" s="15">
        <v>88.7</v>
      </c>
      <c r="E574" s="4">
        <f t="shared" si="8"/>
        <v>79.95</v>
      </c>
    </row>
    <row r="575" spans="1:5" x14ac:dyDescent="0.35">
      <c r="A575" s="16">
        <v>66.400000000000006</v>
      </c>
      <c r="B575" s="17" t="s">
        <v>22</v>
      </c>
      <c r="C575" s="18">
        <v>75.3</v>
      </c>
      <c r="E575" s="4">
        <f t="shared" si="8"/>
        <v>70.849999999999994</v>
      </c>
    </row>
    <row r="576" spans="1:5" x14ac:dyDescent="0.35">
      <c r="A576" s="13">
        <v>77.599999999999994</v>
      </c>
      <c r="B576" s="14" t="s">
        <v>20</v>
      </c>
      <c r="C576" s="15">
        <v>84.9</v>
      </c>
      <c r="E576" s="4">
        <f t="shared" si="8"/>
        <v>81.25</v>
      </c>
    </row>
    <row r="577" spans="1:5" x14ac:dyDescent="0.35">
      <c r="A577" s="16">
        <v>65.3</v>
      </c>
      <c r="B577" s="17" t="s">
        <v>20</v>
      </c>
      <c r="C577" s="18">
        <v>81.099999999999994</v>
      </c>
      <c r="E577" s="4">
        <f t="shared" si="8"/>
        <v>73.199999999999989</v>
      </c>
    </row>
    <row r="578" spans="1:5" x14ac:dyDescent="0.35">
      <c r="A578" s="13">
        <v>46.8</v>
      </c>
      <c r="B578" s="14" t="s">
        <v>22</v>
      </c>
      <c r="C578" s="15">
        <v>75.599999999999994</v>
      </c>
      <c r="E578" s="4">
        <f t="shared" si="8"/>
        <v>61.199999999999996</v>
      </c>
    </row>
    <row r="579" spans="1:5" x14ac:dyDescent="0.35">
      <c r="A579" s="16">
        <v>68.2</v>
      </c>
      <c r="B579" s="17" t="s">
        <v>16</v>
      </c>
      <c r="C579" s="18">
        <v>95.5</v>
      </c>
      <c r="E579" s="4">
        <f t="shared" ref="E579:E642" si="9">(A579+C579)/2</f>
        <v>81.849999999999994</v>
      </c>
    </row>
    <row r="580" spans="1:5" x14ac:dyDescent="0.35">
      <c r="A580" s="13">
        <v>41.6</v>
      </c>
      <c r="B580" s="14" t="s">
        <v>20</v>
      </c>
      <c r="C580" s="15">
        <v>83.3</v>
      </c>
      <c r="E580" s="4">
        <f t="shared" si="9"/>
        <v>62.45</v>
      </c>
    </row>
    <row r="581" spans="1:5" x14ac:dyDescent="0.35">
      <c r="A581" s="16">
        <v>74.2</v>
      </c>
      <c r="B581" s="17" t="s">
        <v>16</v>
      </c>
      <c r="C581" s="18">
        <v>95.7</v>
      </c>
      <c r="E581" s="4">
        <f t="shared" si="9"/>
        <v>84.95</v>
      </c>
    </row>
    <row r="582" spans="1:5" x14ac:dyDescent="0.35">
      <c r="A582" s="13">
        <v>58.2</v>
      </c>
      <c r="B582" s="14" t="s">
        <v>22</v>
      </c>
      <c r="C582" s="15">
        <v>70.400000000000006</v>
      </c>
      <c r="E582" s="4">
        <f t="shared" si="9"/>
        <v>64.300000000000011</v>
      </c>
    </row>
    <row r="583" spans="1:5" x14ac:dyDescent="0.35">
      <c r="A583" s="16">
        <v>72</v>
      </c>
      <c r="B583" s="17" t="s">
        <v>20</v>
      </c>
      <c r="C583" s="18">
        <v>82.7</v>
      </c>
      <c r="E583" s="4">
        <f t="shared" si="9"/>
        <v>77.349999999999994</v>
      </c>
    </row>
    <row r="584" spans="1:5" x14ac:dyDescent="0.35">
      <c r="A584" s="13">
        <v>85.8</v>
      </c>
      <c r="B584" s="14" t="s">
        <v>22</v>
      </c>
      <c r="C584" s="15">
        <v>76.7</v>
      </c>
      <c r="E584" s="4">
        <f t="shared" si="9"/>
        <v>81.25</v>
      </c>
    </row>
    <row r="585" spans="1:5" x14ac:dyDescent="0.35">
      <c r="A585" s="16">
        <v>58.6</v>
      </c>
      <c r="B585" s="17" t="s">
        <v>21</v>
      </c>
      <c r="C585" s="18">
        <v>68.400000000000006</v>
      </c>
      <c r="E585" s="4">
        <f t="shared" si="9"/>
        <v>63.5</v>
      </c>
    </row>
    <row r="586" spans="1:5" x14ac:dyDescent="0.35">
      <c r="A586" s="13">
        <v>82.7</v>
      </c>
      <c r="B586" s="14" t="s">
        <v>20</v>
      </c>
      <c r="C586" s="15">
        <v>84.6</v>
      </c>
      <c r="E586" s="4">
        <f t="shared" si="9"/>
        <v>83.65</v>
      </c>
    </row>
    <row r="587" spans="1:5" x14ac:dyDescent="0.35">
      <c r="A587" s="16">
        <v>64.8</v>
      </c>
      <c r="B587" s="17" t="s">
        <v>21</v>
      </c>
      <c r="C587" s="18">
        <v>67.7</v>
      </c>
      <c r="E587" s="4">
        <f t="shared" si="9"/>
        <v>66.25</v>
      </c>
    </row>
    <row r="588" spans="1:5" x14ac:dyDescent="0.35">
      <c r="A588" s="13">
        <v>91</v>
      </c>
      <c r="B588" s="14" t="s">
        <v>20</v>
      </c>
      <c r="C588" s="15">
        <v>89.2</v>
      </c>
      <c r="E588" s="4">
        <f t="shared" si="9"/>
        <v>90.1</v>
      </c>
    </row>
    <row r="589" spans="1:5" x14ac:dyDescent="0.35">
      <c r="A589" s="16">
        <v>65.599999999999994</v>
      </c>
      <c r="B589" s="17" t="s">
        <v>20</v>
      </c>
      <c r="C589" s="18">
        <v>85</v>
      </c>
      <c r="E589" s="4">
        <f t="shared" si="9"/>
        <v>75.3</v>
      </c>
    </row>
    <row r="590" spans="1:5" x14ac:dyDescent="0.35">
      <c r="A590" s="13">
        <v>59.9</v>
      </c>
      <c r="B590" s="14" t="s">
        <v>22</v>
      </c>
      <c r="C590" s="15">
        <v>77.3</v>
      </c>
      <c r="E590" s="4">
        <f t="shared" si="9"/>
        <v>68.599999999999994</v>
      </c>
    </row>
    <row r="591" spans="1:5" x14ac:dyDescent="0.35">
      <c r="A591" s="16">
        <v>78.2</v>
      </c>
      <c r="B591" s="17" t="s">
        <v>22</v>
      </c>
      <c r="C591" s="18">
        <v>72.2</v>
      </c>
      <c r="E591" s="4">
        <f t="shared" si="9"/>
        <v>75.2</v>
      </c>
    </row>
    <row r="592" spans="1:5" x14ac:dyDescent="0.35">
      <c r="A592" s="13">
        <v>64.8</v>
      </c>
      <c r="B592" s="14" t="s">
        <v>20</v>
      </c>
      <c r="C592" s="15">
        <v>89</v>
      </c>
      <c r="E592" s="4">
        <f t="shared" si="9"/>
        <v>76.900000000000006</v>
      </c>
    </row>
    <row r="593" spans="1:5" x14ac:dyDescent="0.35">
      <c r="A593" s="16">
        <v>59.9</v>
      </c>
      <c r="B593" s="17" t="s">
        <v>21</v>
      </c>
      <c r="C593" s="18">
        <v>63.2</v>
      </c>
      <c r="E593" s="4">
        <f t="shared" si="9"/>
        <v>61.55</v>
      </c>
    </row>
    <row r="594" spans="1:5" x14ac:dyDescent="0.35">
      <c r="A594" s="13">
        <v>64.3</v>
      </c>
      <c r="B594" s="14" t="s">
        <v>22</v>
      </c>
      <c r="C594" s="15">
        <v>73.2</v>
      </c>
      <c r="E594" s="4">
        <f t="shared" si="9"/>
        <v>68.75</v>
      </c>
    </row>
    <row r="595" spans="1:5" x14ac:dyDescent="0.35">
      <c r="A595" s="16">
        <v>69.5</v>
      </c>
      <c r="B595" s="17" t="s">
        <v>20</v>
      </c>
      <c r="C595" s="18">
        <v>87</v>
      </c>
      <c r="E595" s="4">
        <f t="shared" si="9"/>
        <v>78.25</v>
      </c>
    </row>
    <row r="596" spans="1:5" x14ac:dyDescent="0.35">
      <c r="A596" s="13">
        <v>86.1</v>
      </c>
      <c r="B596" s="14" t="s">
        <v>20</v>
      </c>
      <c r="C596" s="15">
        <v>88.5</v>
      </c>
      <c r="E596" s="4">
        <f t="shared" si="9"/>
        <v>87.3</v>
      </c>
    </row>
    <row r="597" spans="1:5" x14ac:dyDescent="0.35">
      <c r="A597" s="16">
        <v>46.8</v>
      </c>
      <c r="B597" s="17" t="s">
        <v>20</v>
      </c>
      <c r="C597" s="18">
        <v>80.400000000000006</v>
      </c>
      <c r="E597" s="4">
        <f t="shared" si="9"/>
        <v>63.6</v>
      </c>
    </row>
    <row r="598" spans="1:5" x14ac:dyDescent="0.35">
      <c r="A598" s="13">
        <v>70.3</v>
      </c>
      <c r="B598" s="14" t="s">
        <v>20</v>
      </c>
      <c r="C598" s="15">
        <v>80.2</v>
      </c>
      <c r="E598" s="4">
        <f t="shared" si="9"/>
        <v>75.25</v>
      </c>
    </row>
    <row r="599" spans="1:5" x14ac:dyDescent="0.35">
      <c r="A599" s="16">
        <v>77.5</v>
      </c>
      <c r="B599" s="17" t="s">
        <v>20</v>
      </c>
      <c r="C599" s="18">
        <v>80.900000000000006</v>
      </c>
      <c r="E599" s="4">
        <f t="shared" si="9"/>
        <v>79.2</v>
      </c>
    </row>
    <row r="600" spans="1:5" x14ac:dyDescent="0.35">
      <c r="A600" s="13">
        <v>72.3</v>
      </c>
      <c r="B600" s="14" t="s">
        <v>20</v>
      </c>
      <c r="C600" s="15">
        <v>86.4</v>
      </c>
      <c r="E600" s="4">
        <f t="shared" si="9"/>
        <v>79.349999999999994</v>
      </c>
    </row>
    <row r="601" spans="1:5" x14ac:dyDescent="0.35">
      <c r="A601" s="16">
        <v>85.7</v>
      </c>
      <c r="B601" s="17" t="s">
        <v>20</v>
      </c>
      <c r="C601" s="18">
        <v>86.3</v>
      </c>
      <c r="E601" s="4">
        <f t="shared" si="9"/>
        <v>86</v>
      </c>
    </row>
    <row r="602" spans="1:5" x14ac:dyDescent="0.35">
      <c r="A602" s="13">
        <v>69.099999999999994</v>
      </c>
      <c r="B602" s="14" t="s">
        <v>16</v>
      </c>
      <c r="C602" s="15">
        <v>93.4</v>
      </c>
      <c r="E602" s="4">
        <f t="shared" si="9"/>
        <v>81.25</v>
      </c>
    </row>
    <row r="603" spans="1:5" x14ac:dyDescent="0.35">
      <c r="A603" s="16">
        <v>67.8</v>
      </c>
      <c r="B603" s="17" t="s">
        <v>16</v>
      </c>
      <c r="C603" s="18">
        <v>95.1</v>
      </c>
      <c r="E603" s="4">
        <f t="shared" si="9"/>
        <v>81.449999999999989</v>
      </c>
    </row>
    <row r="604" spans="1:5" x14ac:dyDescent="0.35">
      <c r="A604" s="13">
        <v>77.099999999999994</v>
      </c>
      <c r="B604" s="14" t="s">
        <v>20</v>
      </c>
      <c r="C604" s="15">
        <v>83.9</v>
      </c>
      <c r="E604" s="4">
        <f t="shared" si="9"/>
        <v>80.5</v>
      </c>
    </row>
    <row r="605" spans="1:5" x14ac:dyDescent="0.35">
      <c r="A605" s="16">
        <v>71.2</v>
      </c>
      <c r="B605" s="17" t="s">
        <v>16</v>
      </c>
      <c r="C605" s="18">
        <v>100</v>
      </c>
      <c r="E605" s="4">
        <f t="shared" si="9"/>
        <v>85.6</v>
      </c>
    </row>
    <row r="606" spans="1:5" x14ac:dyDescent="0.35">
      <c r="A606" s="13">
        <v>65.3</v>
      </c>
      <c r="B606" s="14" t="s">
        <v>20</v>
      </c>
      <c r="C606" s="15">
        <v>80.900000000000006</v>
      </c>
      <c r="E606" s="4">
        <f t="shared" si="9"/>
        <v>73.099999999999994</v>
      </c>
    </row>
    <row r="607" spans="1:5" x14ac:dyDescent="0.35">
      <c r="A607" s="16">
        <v>76.2</v>
      </c>
      <c r="B607" s="17" t="s">
        <v>22</v>
      </c>
      <c r="C607" s="18">
        <v>76.400000000000006</v>
      </c>
      <c r="E607" s="4">
        <f t="shared" si="9"/>
        <v>76.300000000000011</v>
      </c>
    </row>
    <row r="608" spans="1:5" x14ac:dyDescent="0.35">
      <c r="A608" s="13">
        <v>62.2</v>
      </c>
      <c r="B608" s="14" t="s">
        <v>22</v>
      </c>
      <c r="C608" s="15">
        <v>73.599999999999994</v>
      </c>
      <c r="E608" s="4">
        <f t="shared" si="9"/>
        <v>67.900000000000006</v>
      </c>
    </row>
    <row r="609" spans="1:5" x14ac:dyDescent="0.35">
      <c r="A609" s="16">
        <v>62.7</v>
      </c>
      <c r="B609" s="17" t="s">
        <v>20</v>
      </c>
      <c r="C609" s="18">
        <v>84</v>
      </c>
      <c r="E609" s="4">
        <f t="shared" si="9"/>
        <v>73.349999999999994</v>
      </c>
    </row>
    <row r="610" spans="1:5" x14ac:dyDescent="0.35">
      <c r="A610" s="13">
        <v>63.7</v>
      </c>
      <c r="B610" s="14" t="s">
        <v>25</v>
      </c>
      <c r="C610" s="15">
        <v>58.6</v>
      </c>
      <c r="E610" s="4">
        <f t="shared" si="9"/>
        <v>61.150000000000006</v>
      </c>
    </row>
    <row r="611" spans="1:5" x14ac:dyDescent="0.35">
      <c r="A611" s="16">
        <v>86.2</v>
      </c>
      <c r="B611" s="17" t="s">
        <v>16</v>
      </c>
      <c r="C611" s="18">
        <v>96.3</v>
      </c>
      <c r="E611" s="4">
        <f t="shared" si="9"/>
        <v>91.25</v>
      </c>
    </row>
    <row r="612" spans="1:5" x14ac:dyDescent="0.35">
      <c r="A612" s="13">
        <v>31.3</v>
      </c>
      <c r="B612" s="14" t="s">
        <v>22</v>
      </c>
      <c r="C612" s="15">
        <v>78.8</v>
      </c>
      <c r="E612" s="4">
        <f t="shared" si="9"/>
        <v>55.05</v>
      </c>
    </row>
    <row r="613" spans="1:5" x14ac:dyDescent="0.35">
      <c r="A613" s="16">
        <v>74.7</v>
      </c>
      <c r="B613" s="17" t="s">
        <v>22</v>
      </c>
      <c r="C613" s="18">
        <v>79.8</v>
      </c>
      <c r="E613" s="4">
        <f t="shared" si="9"/>
        <v>77.25</v>
      </c>
    </row>
    <row r="614" spans="1:5" x14ac:dyDescent="0.35">
      <c r="A614" s="13">
        <v>70.400000000000006</v>
      </c>
      <c r="B614" s="14" t="s">
        <v>22</v>
      </c>
      <c r="C614" s="15">
        <v>70</v>
      </c>
      <c r="E614" s="4">
        <f t="shared" si="9"/>
        <v>70.2</v>
      </c>
    </row>
    <row r="615" spans="1:5" x14ac:dyDescent="0.35">
      <c r="A615" s="16">
        <v>49.8</v>
      </c>
      <c r="B615" s="17" t="s">
        <v>22</v>
      </c>
      <c r="C615" s="18">
        <v>75</v>
      </c>
      <c r="E615" s="4">
        <f t="shared" si="9"/>
        <v>62.4</v>
      </c>
    </row>
    <row r="616" spans="1:5" x14ac:dyDescent="0.35">
      <c r="A616" s="13">
        <v>73.7</v>
      </c>
      <c r="B616" s="14" t="s">
        <v>16</v>
      </c>
      <c r="C616" s="15">
        <v>95</v>
      </c>
      <c r="E616" s="4">
        <f t="shared" si="9"/>
        <v>84.35</v>
      </c>
    </row>
    <row r="617" spans="1:5" x14ac:dyDescent="0.35">
      <c r="A617" s="16">
        <v>75.7</v>
      </c>
      <c r="B617" s="17" t="s">
        <v>16</v>
      </c>
      <c r="C617" s="18">
        <v>92.4</v>
      </c>
      <c r="E617" s="4">
        <f t="shared" si="9"/>
        <v>84.050000000000011</v>
      </c>
    </row>
    <row r="618" spans="1:5" x14ac:dyDescent="0.35">
      <c r="A618" s="13">
        <v>77.099999999999994</v>
      </c>
      <c r="B618" s="14" t="s">
        <v>20</v>
      </c>
      <c r="C618" s="15">
        <v>86.4</v>
      </c>
      <c r="E618" s="4">
        <f t="shared" si="9"/>
        <v>81.75</v>
      </c>
    </row>
    <row r="619" spans="1:5" x14ac:dyDescent="0.35">
      <c r="A619" s="16">
        <v>38.200000000000003</v>
      </c>
      <c r="B619" s="17" t="s">
        <v>22</v>
      </c>
      <c r="C619" s="18">
        <v>79.099999999999994</v>
      </c>
      <c r="E619" s="4">
        <f t="shared" si="9"/>
        <v>58.65</v>
      </c>
    </row>
    <row r="620" spans="1:5" x14ac:dyDescent="0.35">
      <c r="A620" s="13">
        <v>86.4</v>
      </c>
      <c r="B620" s="14" t="s">
        <v>16</v>
      </c>
      <c r="C620" s="15">
        <v>91.5</v>
      </c>
      <c r="E620" s="4">
        <f t="shared" si="9"/>
        <v>88.95</v>
      </c>
    </row>
    <row r="621" spans="1:5" x14ac:dyDescent="0.35">
      <c r="A621" s="16">
        <v>61.1</v>
      </c>
      <c r="B621" s="17" t="s">
        <v>20</v>
      </c>
      <c r="C621" s="18">
        <v>80.3</v>
      </c>
      <c r="E621" s="4">
        <f t="shared" si="9"/>
        <v>70.7</v>
      </c>
    </row>
    <row r="622" spans="1:5" x14ac:dyDescent="0.35">
      <c r="A622" s="13">
        <v>78.2</v>
      </c>
      <c r="B622" s="14" t="s">
        <v>16</v>
      </c>
      <c r="C622" s="15">
        <v>98.3</v>
      </c>
      <c r="E622" s="4">
        <f t="shared" si="9"/>
        <v>88.25</v>
      </c>
    </row>
    <row r="623" spans="1:5" x14ac:dyDescent="0.35">
      <c r="A623" s="16">
        <v>78.900000000000006</v>
      </c>
      <c r="B623" s="17" t="s">
        <v>22</v>
      </c>
      <c r="C623" s="18">
        <v>79.3</v>
      </c>
      <c r="E623" s="4">
        <f t="shared" si="9"/>
        <v>79.099999999999994</v>
      </c>
    </row>
    <row r="624" spans="1:5" x14ac:dyDescent="0.35">
      <c r="A624" s="13">
        <v>59.5</v>
      </c>
      <c r="B624" s="14" t="s">
        <v>20</v>
      </c>
      <c r="C624" s="15">
        <v>89.5</v>
      </c>
      <c r="E624" s="4">
        <f t="shared" si="9"/>
        <v>74.5</v>
      </c>
    </row>
    <row r="625" spans="1:5" x14ac:dyDescent="0.35">
      <c r="A625" s="16">
        <v>77.900000000000006</v>
      </c>
      <c r="B625" s="17" t="s">
        <v>22</v>
      </c>
      <c r="C625" s="18">
        <v>75.7</v>
      </c>
      <c r="E625" s="4">
        <f t="shared" si="9"/>
        <v>76.800000000000011</v>
      </c>
    </row>
    <row r="626" spans="1:5" x14ac:dyDescent="0.35">
      <c r="A626" s="13">
        <v>65.400000000000006</v>
      </c>
      <c r="B626" s="14" t="s">
        <v>20</v>
      </c>
      <c r="C626" s="15">
        <v>89.6</v>
      </c>
      <c r="E626" s="4">
        <f t="shared" si="9"/>
        <v>77.5</v>
      </c>
    </row>
    <row r="627" spans="1:5" x14ac:dyDescent="0.35">
      <c r="A627" s="16">
        <v>45.1</v>
      </c>
      <c r="B627" s="17" t="s">
        <v>22</v>
      </c>
      <c r="C627" s="18">
        <v>71</v>
      </c>
      <c r="E627" s="4">
        <f t="shared" si="9"/>
        <v>58.05</v>
      </c>
    </row>
    <row r="628" spans="1:5" x14ac:dyDescent="0.35">
      <c r="A628" s="13">
        <v>84</v>
      </c>
      <c r="B628" s="14" t="s">
        <v>16</v>
      </c>
      <c r="C628" s="15">
        <v>96.8</v>
      </c>
      <c r="E628" s="4">
        <f t="shared" si="9"/>
        <v>90.4</v>
      </c>
    </row>
    <row r="629" spans="1:5" x14ac:dyDescent="0.35">
      <c r="A629" s="16">
        <v>60.7</v>
      </c>
      <c r="B629" s="17" t="s">
        <v>21</v>
      </c>
      <c r="C629" s="18">
        <v>61.9</v>
      </c>
      <c r="E629" s="4">
        <f t="shared" si="9"/>
        <v>61.3</v>
      </c>
    </row>
    <row r="630" spans="1:5" x14ac:dyDescent="0.35">
      <c r="A630" s="13">
        <v>59.7</v>
      </c>
      <c r="B630" s="14" t="s">
        <v>16</v>
      </c>
      <c r="C630" s="15">
        <v>93.9</v>
      </c>
      <c r="E630" s="4">
        <f t="shared" si="9"/>
        <v>76.800000000000011</v>
      </c>
    </row>
    <row r="631" spans="1:5" x14ac:dyDescent="0.35">
      <c r="A631" s="16">
        <v>65.2</v>
      </c>
      <c r="B631" s="17" t="s">
        <v>20</v>
      </c>
      <c r="C631" s="18">
        <v>81.3</v>
      </c>
      <c r="E631" s="4">
        <f t="shared" si="9"/>
        <v>73.25</v>
      </c>
    </row>
    <row r="632" spans="1:5" x14ac:dyDescent="0.35">
      <c r="A632" s="13">
        <v>73.3</v>
      </c>
      <c r="B632" s="14" t="s">
        <v>22</v>
      </c>
      <c r="C632" s="15">
        <v>77.599999999999994</v>
      </c>
      <c r="E632" s="4">
        <f t="shared" si="9"/>
        <v>75.449999999999989</v>
      </c>
    </row>
    <row r="633" spans="1:5" x14ac:dyDescent="0.35">
      <c r="A633" s="16">
        <v>69.3</v>
      </c>
      <c r="B633" s="17" t="s">
        <v>22</v>
      </c>
      <c r="C633" s="18">
        <v>71.400000000000006</v>
      </c>
      <c r="E633" s="4">
        <f t="shared" si="9"/>
        <v>70.349999999999994</v>
      </c>
    </row>
    <row r="634" spans="1:5" x14ac:dyDescent="0.35">
      <c r="A634" s="13">
        <v>76.599999999999994</v>
      </c>
      <c r="B634" s="14" t="s">
        <v>20</v>
      </c>
      <c r="C634" s="15">
        <v>89.4</v>
      </c>
      <c r="E634" s="4">
        <f t="shared" si="9"/>
        <v>83</v>
      </c>
    </row>
    <row r="635" spans="1:5" x14ac:dyDescent="0.35">
      <c r="A635" s="16">
        <v>53.9</v>
      </c>
      <c r="B635" s="17" t="s">
        <v>22</v>
      </c>
      <c r="C635" s="18">
        <v>74.3</v>
      </c>
      <c r="E635" s="4">
        <f t="shared" si="9"/>
        <v>64.099999999999994</v>
      </c>
    </row>
    <row r="636" spans="1:5" x14ac:dyDescent="0.35">
      <c r="A636" s="13">
        <v>61.1</v>
      </c>
      <c r="B636" s="14" t="s">
        <v>22</v>
      </c>
      <c r="C636" s="15">
        <v>76</v>
      </c>
      <c r="E636" s="4">
        <f t="shared" si="9"/>
        <v>68.55</v>
      </c>
    </row>
    <row r="637" spans="1:5" x14ac:dyDescent="0.35">
      <c r="A637" s="16">
        <v>68.599999999999994</v>
      </c>
      <c r="B637" s="17" t="s">
        <v>16</v>
      </c>
      <c r="C637" s="18">
        <v>96.3</v>
      </c>
      <c r="E637" s="4">
        <f t="shared" si="9"/>
        <v>82.449999999999989</v>
      </c>
    </row>
    <row r="638" spans="1:5" x14ac:dyDescent="0.35">
      <c r="A638" s="13">
        <v>92.8</v>
      </c>
      <c r="B638" s="14" t="s">
        <v>16</v>
      </c>
      <c r="C638" s="15">
        <v>100</v>
      </c>
      <c r="E638" s="4">
        <f t="shared" si="9"/>
        <v>96.4</v>
      </c>
    </row>
    <row r="639" spans="1:5" x14ac:dyDescent="0.35">
      <c r="A639" s="16">
        <v>68.599999999999994</v>
      </c>
      <c r="B639" s="17" t="s">
        <v>16</v>
      </c>
      <c r="C639" s="18">
        <v>99.9</v>
      </c>
      <c r="E639" s="4">
        <f t="shared" si="9"/>
        <v>84.25</v>
      </c>
    </row>
    <row r="640" spans="1:5" x14ac:dyDescent="0.35">
      <c r="A640" s="13">
        <v>83</v>
      </c>
      <c r="B640" s="14" t="s">
        <v>20</v>
      </c>
      <c r="C640" s="15">
        <v>83.8</v>
      </c>
      <c r="E640" s="4">
        <f t="shared" si="9"/>
        <v>83.4</v>
      </c>
    </row>
    <row r="641" spans="1:5" x14ac:dyDescent="0.35">
      <c r="A641" s="16">
        <v>70.5</v>
      </c>
      <c r="B641" s="17" t="s">
        <v>22</v>
      </c>
      <c r="C641" s="18">
        <v>79.400000000000006</v>
      </c>
      <c r="E641" s="4">
        <f t="shared" si="9"/>
        <v>74.95</v>
      </c>
    </row>
    <row r="642" spans="1:5" x14ac:dyDescent="0.35">
      <c r="A642" s="13">
        <v>64.2</v>
      </c>
      <c r="B642" s="14" t="s">
        <v>20</v>
      </c>
      <c r="C642" s="15">
        <v>86</v>
      </c>
      <c r="E642" s="4">
        <f t="shared" si="9"/>
        <v>75.099999999999994</v>
      </c>
    </row>
    <row r="643" spans="1:5" x14ac:dyDescent="0.35">
      <c r="A643" s="16">
        <v>67</v>
      </c>
      <c r="B643" s="17" t="s">
        <v>16</v>
      </c>
      <c r="C643" s="18">
        <v>97.9</v>
      </c>
      <c r="E643" s="4">
        <f t="shared" ref="E643:E706" si="10">(A643+C643)/2</f>
        <v>82.45</v>
      </c>
    </row>
    <row r="644" spans="1:5" x14ac:dyDescent="0.35">
      <c r="A644" s="13">
        <v>68</v>
      </c>
      <c r="B644" s="14" t="s">
        <v>16</v>
      </c>
      <c r="C644" s="15">
        <v>90.5</v>
      </c>
      <c r="E644" s="4">
        <f t="shared" si="10"/>
        <v>79.25</v>
      </c>
    </row>
    <row r="645" spans="1:5" x14ac:dyDescent="0.35">
      <c r="A645" s="16">
        <v>77.2</v>
      </c>
      <c r="B645" s="17" t="s">
        <v>22</v>
      </c>
      <c r="C645" s="18">
        <v>70.400000000000006</v>
      </c>
      <c r="E645" s="4">
        <f t="shared" si="10"/>
        <v>73.800000000000011</v>
      </c>
    </row>
    <row r="646" spans="1:5" x14ac:dyDescent="0.35">
      <c r="A646" s="13">
        <v>86.5</v>
      </c>
      <c r="B646" s="14" t="s">
        <v>20</v>
      </c>
      <c r="C646" s="15">
        <v>82.9</v>
      </c>
      <c r="E646" s="4">
        <f t="shared" si="10"/>
        <v>84.7</v>
      </c>
    </row>
    <row r="647" spans="1:5" x14ac:dyDescent="0.35">
      <c r="A647" s="16">
        <v>74.3</v>
      </c>
      <c r="B647" s="17" t="s">
        <v>22</v>
      </c>
      <c r="C647" s="18">
        <v>75.5</v>
      </c>
      <c r="E647" s="4">
        <f t="shared" si="10"/>
        <v>74.900000000000006</v>
      </c>
    </row>
    <row r="648" spans="1:5" x14ac:dyDescent="0.35">
      <c r="A648" s="13">
        <v>84.2</v>
      </c>
      <c r="B648" s="14" t="s">
        <v>16</v>
      </c>
      <c r="C648" s="15">
        <v>100</v>
      </c>
      <c r="E648" s="4">
        <f t="shared" si="10"/>
        <v>92.1</v>
      </c>
    </row>
    <row r="649" spans="1:5" x14ac:dyDescent="0.35">
      <c r="A649" s="16">
        <v>58.4</v>
      </c>
      <c r="B649" s="17" t="s">
        <v>16</v>
      </c>
      <c r="C649" s="18">
        <v>94</v>
      </c>
      <c r="E649" s="4">
        <f t="shared" si="10"/>
        <v>76.2</v>
      </c>
    </row>
    <row r="650" spans="1:5" x14ac:dyDescent="0.35">
      <c r="A650" s="13">
        <v>65</v>
      </c>
      <c r="B650" s="14" t="s">
        <v>20</v>
      </c>
      <c r="C650" s="15">
        <v>88.9</v>
      </c>
      <c r="E650" s="4">
        <f t="shared" si="10"/>
        <v>76.95</v>
      </c>
    </row>
    <row r="651" spans="1:5" x14ac:dyDescent="0.35">
      <c r="A651" s="16">
        <v>61.3</v>
      </c>
      <c r="B651" s="17" t="s">
        <v>16</v>
      </c>
      <c r="C651" s="18">
        <v>97.3</v>
      </c>
      <c r="E651" s="4">
        <f t="shared" si="10"/>
        <v>79.3</v>
      </c>
    </row>
    <row r="652" spans="1:5" x14ac:dyDescent="0.35">
      <c r="A652" s="13">
        <v>73.8</v>
      </c>
      <c r="B652" s="14" t="s">
        <v>25</v>
      </c>
      <c r="C652" s="15">
        <v>59.5</v>
      </c>
      <c r="E652" s="4">
        <f t="shared" si="10"/>
        <v>66.650000000000006</v>
      </c>
    </row>
    <row r="653" spans="1:5" x14ac:dyDescent="0.35">
      <c r="A653" s="16">
        <v>65.7</v>
      </c>
      <c r="B653" s="17" t="s">
        <v>22</v>
      </c>
      <c r="C653" s="18">
        <v>73.3</v>
      </c>
      <c r="E653" s="4">
        <f t="shared" si="10"/>
        <v>69.5</v>
      </c>
    </row>
    <row r="654" spans="1:5" x14ac:dyDescent="0.35">
      <c r="A654" s="13">
        <v>78.8</v>
      </c>
      <c r="B654" s="14" t="s">
        <v>20</v>
      </c>
      <c r="C654" s="15">
        <v>88</v>
      </c>
      <c r="E654" s="4">
        <f t="shared" si="10"/>
        <v>83.4</v>
      </c>
    </row>
    <row r="655" spans="1:5" x14ac:dyDescent="0.35">
      <c r="A655" s="16">
        <v>58.8</v>
      </c>
      <c r="B655" s="17" t="s">
        <v>22</v>
      </c>
      <c r="C655" s="18">
        <v>74.8</v>
      </c>
      <c r="E655" s="4">
        <f t="shared" si="10"/>
        <v>66.8</v>
      </c>
    </row>
    <row r="656" spans="1:5" x14ac:dyDescent="0.35">
      <c r="A656" s="13">
        <v>70.5</v>
      </c>
      <c r="B656" s="14" t="s">
        <v>20</v>
      </c>
      <c r="C656" s="15">
        <v>89.9</v>
      </c>
      <c r="E656" s="4">
        <f t="shared" si="10"/>
        <v>80.2</v>
      </c>
    </row>
    <row r="657" spans="1:5" x14ac:dyDescent="0.35">
      <c r="A657" s="16">
        <v>78.2</v>
      </c>
      <c r="B657" s="17" t="s">
        <v>22</v>
      </c>
      <c r="C657" s="18">
        <v>72.599999999999994</v>
      </c>
      <c r="E657" s="4">
        <f t="shared" si="10"/>
        <v>75.400000000000006</v>
      </c>
    </row>
    <row r="658" spans="1:5" x14ac:dyDescent="0.35">
      <c r="A658" s="13">
        <v>45.2</v>
      </c>
      <c r="B658" s="14" t="s">
        <v>20</v>
      </c>
      <c r="C658" s="15">
        <v>83.6</v>
      </c>
      <c r="E658" s="4">
        <f t="shared" si="10"/>
        <v>64.400000000000006</v>
      </c>
    </row>
    <row r="659" spans="1:5" x14ac:dyDescent="0.35">
      <c r="A659" s="16">
        <v>95.5</v>
      </c>
      <c r="B659" s="17" t="s">
        <v>16</v>
      </c>
      <c r="C659" s="18">
        <v>100</v>
      </c>
      <c r="E659" s="4">
        <f t="shared" si="10"/>
        <v>97.75</v>
      </c>
    </row>
    <row r="660" spans="1:5" x14ac:dyDescent="0.35">
      <c r="A660" s="13">
        <v>66.599999999999994</v>
      </c>
      <c r="B660" s="14" t="s">
        <v>20</v>
      </c>
      <c r="C660" s="15">
        <v>84.3</v>
      </c>
      <c r="E660" s="4">
        <f t="shared" si="10"/>
        <v>75.449999999999989</v>
      </c>
    </row>
    <row r="661" spans="1:5" x14ac:dyDescent="0.35">
      <c r="A661" s="16">
        <v>45.7</v>
      </c>
      <c r="B661" s="17" t="s">
        <v>20</v>
      </c>
      <c r="C661" s="18">
        <v>85.4</v>
      </c>
      <c r="E661" s="4">
        <f t="shared" si="10"/>
        <v>65.550000000000011</v>
      </c>
    </row>
    <row r="662" spans="1:5" x14ac:dyDescent="0.35">
      <c r="A662" s="13">
        <v>71.900000000000006</v>
      </c>
      <c r="B662" s="14" t="s">
        <v>16</v>
      </c>
      <c r="C662" s="15">
        <v>95.2</v>
      </c>
      <c r="E662" s="4">
        <f t="shared" si="10"/>
        <v>83.550000000000011</v>
      </c>
    </row>
    <row r="663" spans="1:5" x14ac:dyDescent="0.35">
      <c r="A663" s="16">
        <v>70.400000000000006</v>
      </c>
      <c r="B663" s="17" t="s">
        <v>21</v>
      </c>
      <c r="C663" s="18">
        <v>69</v>
      </c>
      <c r="E663" s="4">
        <f t="shared" si="10"/>
        <v>69.7</v>
      </c>
    </row>
    <row r="664" spans="1:5" x14ac:dyDescent="0.35">
      <c r="A664" s="13">
        <v>69</v>
      </c>
      <c r="B664" s="14" t="s">
        <v>16</v>
      </c>
      <c r="C664" s="15">
        <v>94.2</v>
      </c>
      <c r="E664" s="4">
        <f t="shared" si="10"/>
        <v>81.599999999999994</v>
      </c>
    </row>
    <row r="665" spans="1:5" x14ac:dyDescent="0.35">
      <c r="A665" s="16">
        <v>81.900000000000006</v>
      </c>
      <c r="B665" s="17" t="s">
        <v>16</v>
      </c>
      <c r="C665" s="18">
        <v>99.7</v>
      </c>
      <c r="E665" s="4">
        <f t="shared" si="10"/>
        <v>90.800000000000011</v>
      </c>
    </row>
    <row r="666" spans="1:5" x14ac:dyDescent="0.35">
      <c r="A666" s="13">
        <v>79</v>
      </c>
      <c r="B666" s="14" t="s">
        <v>20</v>
      </c>
      <c r="C666" s="15">
        <v>85.8</v>
      </c>
      <c r="E666" s="4">
        <f t="shared" si="10"/>
        <v>82.4</v>
      </c>
    </row>
    <row r="667" spans="1:5" x14ac:dyDescent="0.35">
      <c r="A667" s="16">
        <v>73.599999999999994</v>
      </c>
      <c r="B667" s="17" t="s">
        <v>16</v>
      </c>
      <c r="C667" s="18">
        <v>91.7</v>
      </c>
      <c r="E667" s="4">
        <f t="shared" si="10"/>
        <v>82.65</v>
      </c>
    </row>
    <row r="668" spans="1:5" x14ac:dyDescent="0.35">
      <c r="A668" s="13">
        <v>75.400000000000006</v>
      </c>
      <c r="B668" s="14" t="s">
        <v>16</v>
      </c>
      <c r="C668" s="15">
        <v>92.2</v>
      </c>
      <c r="E668" s="4">
        <f t="shared" si="10"/>
        <v>83.800000000000011</v>
      </c>
    </row>
    <row r="669" spans="1:5" x14ac:dyDescent="0.35">
      <c r="A669" s="16">
        <v>68.7</v>
      </c>
      <c r="B669" s="17" t="s">
        <v>16</v>
      </c>
      <c r="C669" s="18">
        <v>96.3</v>
      </c>
      <c r="E669" s="4">
        <f t="shared" si="10"/>
        <v>82.5</v>
      </c>
    </row>
    <row r="670" spans="1:5" x14ac:dyDescent="0.35">
      <c r="A670" s="13">
        <v>91.3</v>
      </c>
      <c r="B670" s="14" t="s">
        <v>16</v>
      </c>
      <c r="C670" s="15">
        <v>97.6</v>
      </c>
      <c r="E670" s="4">
        <f t="shared" si="10"/>
        <v>94.449999999999989</v>
      </c>
    </row>
    <row r="671" spans="1:5" x14ac:dyDescent="0.35">
      <c r="A671" s="16">
        <v>52.2</v>
      </c>
      <c r="B671" s="17" t="s">
        <v>21</v>
      </c>
      <c r="C671" s="18">
        <v>66.400000000000006</v>
      </c>
      <c r="E671" s="4">
        <f t="shared" si="10"/>
        <v>59.300000000000004</v>
      </c>
    </row>
    <row r="672" spans="1:5" x14ac:dyDescent="0.35">
      <c r="A672" s="13">
        <v>71.7</v>
      </c>
      <c r="B672" s="14" t="s">
        <v>21</v>
      </c>
      <c r="C672" s="15">
        <v>60.8</v>
      </c>
      <c r="E672" s="4">
        <f t="shared" si="10"/>
        <v>66.25</v>
      </c>
    </row>
    <row r="673" spans="1:5" x14ac:dyDescent="0.35">
      <c r="A673" s="16">
        <v>70.8</v>
      </c>
      <c r="B673" s="17" t="s">
        <v>16</v>
      </c>
      <c r="C673" s="18">
        <v>99.8</v>
      </c>
      <c r="E673" s="4">
        <f t="shared" si="10"/>
        <v>85.3</v>
      </c>
    </row>
    <row r="674" spans="1:5" x14ac:dyDescent="0.35">
      <c r="A674" s="13">
        <v>79.8</v>
      </c>
      <c r="B674" s="14" t="s">
        <v>20</v>
      </c>
      <c r="C674" s="15">
        <v>85.2</v>
      </c>
      <c r="E674" s="4">
        <f t="shared" si="10"/>
        <v>82.5</v>
      </c>
    </row>
    <row r="675" spans="1:5" x14ac:dyDescent="0.35">
      <c r="A675" s="16">
        <v>59.9</v>
      </c>
      <c r="B675" s="17" t="s">
        <v>22</v>
      </c>
      <c r="C675" s="18">
        <v>73.2</v>
      </c>
      <c r="E675" s="4">
        <f t="shared" si="10"/>
        <v>66.55</v>
      </c>
    </row>
    <row r="676" spans="1:5" x14ac:dyDescent="0.35">
      <c r="A676" s="13">
        <v>49.1</v>
      </c>
      <c r="B676" s="14" t="s">
        <v>20</v>
      </c>
      <c r="C676" s="15">
        <v>83.8</v>
      </c>
      <c r="E676" s="4">
        <f t="shared" si="10"/>
        <v>66.45</v>
      </c>
    </row>
    <row r="677" spans="1:5" x14ac:dyDescent="0.35">
      <c r="A677" s="16">
        <v>71.900000000000006</v>
      </c>
      <c r="B677" s="17" t="s">
        <v>21</v>
      </c>
      <c r="C677" s="18">
        <v>61.3</v>
      </c>
      <c r="E677" s="4">
        <f t="shared" si="10"/>
        <v>66.599999999999994</v>
      </c>
    </row>
    <row r="678" spans="1:5" x14ac:dyDescent="0.35">
      <c r="A678" s="13">
        <v>73.400000000000006</v>
      </c>
      <c r="B678" s="14" t="s">
        <v>16</v>
      </c>
      <c r="C678" s="15">
        <v>90.6</v>
      </c>
      <c r="E678" s="4">
        <f t="shared" si="10"/>
        <v>82</v>
      </c>
    </row>
    <row r="679" spans="1:5" x14ac:dyDescent="0.35">
      <c r="A679" s="16">
        <v>87.9</v>
      </c>
      <c r="B679" s="17" t="s">
        <v>21</v>
      </c>
      <c r="C679" s="18">
        <v>67.7</v>
      </c>
      <c r="E679" s="4">
        <f t="shared" si="10"/>
        <v>77.800000000000011</v>
      </c>
    </row>
    <row r="680" spans="1:5" x14ac:dyDescent="0.35">
      <c r="A680" s="13">
        <v>54.8</v>
      </c>
      <c r="B680" s="14" t="s">
        <v>21</v>
      </c>
      <c r="C680" s="15">
        <v>63.6</v>
      </c>
      <c r="E680" s="4">
        <f t="shared" si="10"/>
        <v>59.2</v>
      </c>
    </row>
    <row r="681" spans="1:5" x14ac:dyDescent="0.35">
      <c r="A681" s="16">
        <v>83.9</v>
      </c>
      <c r="B681" s="17" t="s">
        <v>20</v>
      </c>
      <c r="C681" s="18">
        <v>84.1</v>
      </c>
      <c r="E681" s="4">
        <f t="shared" si="10"/>
        <v>84</v>
      </c>
    </row>
    <row r="682" spans="1:5" x14ac:dyDescent="0.35">
      <c r="A682" s="13">
        <v>98.4</v>
      </c>
      <c r="B682" s="14" t="s">
        <v>20</v>
      </c>
      <c r="C682" s="15">
        <v>86.2</v>
      </c>
      <c r="E682" s="4">
        <f t="shared" si="10"/>
        <v>92.300000000000011</v>
      </c>
    </row>
    <row r="683" spans="1:5" x14ac:dyDescent="0.35">
      <c r="A683" s="16">
        <v>65.5</v>
      </c>
      <c r="B683" s="17" t="s">
        <v>16</v>
      </c>
      <c r="C683" s="18">
        <v>93.9</v>
      </c>
      <c r="E683" s="4">
        <f t="shared" si="10"/>
        <v>79.7</v>
      </c>
    </row>
    <row r="684" spans="1:5" x14ac:dyDescent="0.35">
      <c r="A684" s="13">
        <v>54.5</v>
      </c>
      <c r="B684" s="14" t="s">
        <v>22</v>
      </c>
      <c r="C684" s="15">
        <v>73.900000000000006</v>
      </c>
      <c r="E684" s="4">
        <f t="shared" si="10"/>
        <v>64.2</v>
      </c>
    </row>
    <row r="685" spans="1:5" x14ac:dyDescent="0.35">
      <c r="A685" s="16">
        <v>65.099999999999994</v>
      </c>
      <c r="B685" s="17" t="s">
        <v>22</v>
      </c>
      <c r="C685" s="18">
        <v>79.3</v>
      </c>
      <c r="E685" s="4">
        <f t="shared" si="10"/>
        <v>72.199999999999989</v>
      </c>
    </row>
    <row r="686" spans="1:5" x14ac:dyDescent="0.35">
      <c r="A686" s="13">
        <v>70.2</v>
      </c>
      <c r="B686" s="14" t="s">
        <v>20</v>
      </c>
      <c r="C686" s="15">
        <v>83.8</v>
      </c>
      <c r="E686" s="4">
        <f t="shared" si="10"/>
        <v>77</v>
      </c>
    </row>
    <row r="687" spans="1:5" x14ac:dyDescent="0.35">
      <c r="A687" s="16">
        <v>76.8</v>
      </c>
      <c r="B687" s="17" t="s">
        <v>16</v>
      </c>
      <c r="C687" s="18">
        <v>91.7</v>
      </c>
      <c r="E687" s="4">
        <f t="shared" si="10"/>
        <v>84.25</v>
      </c>
    </row>
    <row r="688" spans="1:5" x14ac:dyDescent="0.35">
      <c r="A688" s="13">
        <v>62.9</v>
      </c>
      <c r="B688" s="14" t="s">
        <v>16</v>
      </c>
      <c r="C688" s="15">
        <v>91.7</v>
      </c>
      <c r="E688" s="4">
        <f t="shared" si="10"/>
        <v>77.3</v>
      </c>
    </row>
    <row r="689" spans="1:5" x14ac:dyDescent="0.35">
      <c r="A689" s="16">
        <v>88.7</v>
      </c>
      <c r="B689" s="17" t="s">
        <v>22</v>
      </c>
      <c r="C689" s="18">
        <v>74.400000000000006</v>
      </c>
      <c r="E689" s="4">
        <f t="shared" si="10"/>
        <v>81.550000000000011</v>
      </c>
    </row>
    <row r="690" spans="1:5" x14ac:dyDescent="0.35">
      <c r="A690" s="13">
        <v>56.6</v>
      </c>
      <c r="B690" s="14" t="s">
        <v>20</v>
      </c>
      <c r="C690" s="15">
        <v>81.5</v>
      </c>
      <c r="E690" s="4">
        <f t="shared" si="10"/>
        <v>69.05</v>
      </c>
    </row>
    <row r="691" spans="1:5" x14ac:dyDescent="0.35">
      <c r="A691" s="16">
        <v>49.1</v>
      </c>
      <c r="B691" s="17" t="s">
        <v>21</v>
      </c>
      <c r="C691" s="18">
        <v>67.7</v>
      </c>
      <c r="E691" s="4">
        <f t="shared" si="10"/>
        <v>58.400000000000006</v>
      </c>
    </row>
    <row r="692" spans="1:5" x14ac:dyDescent="0.35">
      <c r="A692" s="13">
        <v>83.3</v>
      </c>
      <c r="B692" s="14" t="s">
        <v>22</v>
      </c>
      <c r="C692" s="15">
        <v>71</v>
      </c>
      <c r="E692" s="4">
        <f t="shared" si="10"/>
        <v>77.150000000000006</v>
      </c>
    </row>
    <row r="693" spans="1:5" x14ac:dyDescent="0.35">
      <c r="A693" s="16">
        <v>42.7</v>
      </c>
      <c r="B693" s="17" t="s">
        <v>22</v>
      </c>
      <c r="C693" s="18">
        <v>79.900000000000006</v>
      </c>
      <c r="E693" s="4">
        <f t="shared" si="10"/>
        <v>61.300000000000004</v>
      </c>
    </row>
    <row r="694" spans="1:5" x14ac:dyDescent="0.35">
      <c r="A694" s="13">
        <v>67.599999999999994</v>
      </c>
      <c r="B694" s="14" t="s">
        <v>16</v>
      </c>
      <c r="C694" s="15">
        <v>92.2</v>
      </c>
      <c r="E694" s="4">
        <f t="shared" si="10"/>
        <v>79.900000000000006</v>
      </c>
    </row>
    <row r="695" spans="1:5" x14ac:dyDescent="0.35">
      <c r="A695" s="16">
        <v>100</v>
      </c>
      <c r="B695" s="17" t="s">
        <v>16</v>
      </c>
      <c r="C695" s="18">
        <v>100</v>
      </c>
      <c r="E695" s="4">
        <f t="shared" si="10"/>
        <v>100</v>
      </c>
    </row>
    <row r="696" spans="1:5" x14ac:dyDescent="0.35">
      <c r="A696" s="13">
        <v>69.900000000000006</v>
      </c>
      <c r="B696" s="14" t="s">
        <v>20</v>
      </c>
      <c r="C696" s="15">
        <v>89.6</v>
      </c>
      <c r="E696" s="4">
        <f t="shared" si="10"/>
        <v>79.75</v>
      </c>
    </row>
    <row r="697" spans="1:5" x14ac:dyDescent="0.35">
      <c r="A697" s="16">
        <v>56.6</v>
      </c>
      <c r="B697" s="17" t="s">
        <v>22</v>
      </c>
      <c r="C697" s="18">
        <v>77.5</v>
      </c>
      <c r="E697" s="4">
        <f t="shared" si="10"/>
        <v>67.05</v>
      </c>
    </row>
    <row r="698" spans="1:5" x14ac:dyDescent="0.35">
      <c r="A698" s="13">
        <v>69.3</v>
      </c>
      <c r="B698" s="14" t="s">
        <v>22</v>
      </c>
      <c r="C698" s="15">
        <v>72.599999999999994</v>
      </c>
      <c r="E698" s="4">
        <f t="shared" si="10"/>
        <v>70.949999999999989</v>
      </c>
    </row>
    <row r="699" spans="1:5" x14ac:dyDescent="0.35">
      <c r="A699" s="16">
        <v>69.400000000000006</v>
      </c>
      <c r="B699" s="17" t="s">
        <v>16</v>
      </c>
      <c r="C699" s="18">
        <v>97.9</v>
      </c>
      <c r="E699" s="4">
        <f t="shared" si="10"/>
        <v>83.65</v>
      </c>
    </row>
    <row r="700" spans="1:5" x14ac:dyDescent="0.35">
      <c r="A700" s="13">
        <v>71.900000000000006</v>
      </c>
      <c r="B700" s="14" t="s">
        <v>20</v>
      </c>
      <c r="C700" s="15">
        <v>85.5</v>
      </c>
      <c r="E700" s="4">
        <f t="shared" si="10"/>
        <v>78.7</v>
      </c>
    </row>
    <row r="701" spans="1:5" x14ac:dyDescent="0.35">
      <c r="A701" s="16">
        <v>77.900000000000006</v>
      </c>
      <c r="B701" s="17" t="s">
        <v>16</v>
      </c>
      <c r="C701" s="18">
        <v>92.1</v>
      </c>
      <c r="E701" s="4">
        <f t="shared" si="10"/>
        <v>85</v>
      </c>
    </row>
    <row r="702" spans="1:5" x14ac:dyDescent="0.35">
      <c r="A702" s="13">
        <v>57.5</v>
      </c>
      <c r="B702" s="14" t="s">
        <v>20</v>
      </c>
      <c r="C702" s="15">
        <v>84.5</v>
      </c>
      <c r="E702" s="4">
        <f t="shared" si="10"/>
        <v>71</v>
      </c>
    </row>
    <row r="703" spans="1:5" x14ac:dyDescent="0.35">
      <c r="A703" s="16">
        <v>90.3</v>
      </c>
      <c r="B703" s="17" t="s">
        <v>20</v>
      </c>
      <c r="C703" s="18">
        <v>82.8</v>
      </c>
      <c r="E703" s="4">
        <f t="shared" si="10"/>
        <v>86.55</v>
      </c>
    </row>
    <row r="704" spans="1:5" x14ac:dyDescent="0.35">
      <c r="A704" s="13">
        <v>72.900000000000006</v>
      </c>
      <c r="B704" s="14" t="s">
        <v>21</v>
      </c>
      <c r="C704" s="15">
        <v>65.400000000000006</v>
      </c>
      <c r="E704" s="4">
        <f t="shared" si="10"/>
        <v>69.150000000000006</v>
      </c>
    </row>
    <row r="705" spans="1:5" x14ac:dyDescent="0.35">
      <c r="A705" s="16">
        <v>78.7</v>
      </c>
      <c r="B705" s="17" t="s">
        <v>20</v>
      </c>
      <c r="C705" s="18">
        <v>89.6</v>
      </c>
      <c r="E705" s="4">
        <f t="shared" si="10"/>
        <v>84.15</v>
      </c>
    </row>
    <row r="706" spans="1:5" x14ac:dyDescent="0.35">
      <c r="A706" s="13">
        <v>62.5</v>
      </c>
      <c r="B706" s="14" t="s">
        <v>20</v>
      </c>
      <c r="C706" s="15">
        <v>83.1</v>
      </c>
      <c r="E706" s="4">
        <f t="shared" si="10"/>
        <v>72.8</v>
      </c>
    </row>
    <row r="707" spans="1:5" x14ac:dyDescent="0.35">
      <c r="A707" s="16">
        <v>85.4</v>
      </c>
      <c r="B707" s="17" t="s">
        <v>16</v>
      </c>
      <c r="C707" s="18">
        <v>94.2</v>
      </c>
      <c r="E707" s="4">
        <f t="shared" ref="E707:E770" si="11">(A707+C707)/2</f>
        <v>89.800000000000011</v>
      </c>
    </row>
    <row r="708" spans="1:5" x14ac:dyDescent="0.35">
      <c r="A708" s="13">
        <v>66.900000000000006</v>
      </c>
      <c r="B708" s="14" t="s">
        <v>16</v>
      </c>
      <c r="C708" s="15">
        <v>92.9</v>
      </c>
      <c r="E708" s="4">
        <f t="shared" si="11"/>
        <v>79.900000000000006</v>
      </c>
    </row>
    <row r="709" spans="1:5" x14ac:dyDescent="0.35">
      <c r="A709" s="16">
        <v>73.3</v>
      </c>
      <c r="B709" s="17" t="s">
        <v>22</v>
      </c>
      <c r="C709" s="18">
        <v>77.099999999999994</v>
      </c>
      <c r="E709" s="4">
        <f t="shared" si="11"/>
        <v>75.199999999999989</v>
      </c>
    </row>
    <row r="710" spans="1:5" x14ac:dyDescent="0.35">
      <c r="A710" s="13">
        <v>58.8</v>
      </c>
      <c r="B710" s="14" t="s">
        <v>16</v>
      </c>
      <c r="C710" s="15">
        <v>98.3</v>
      </c>
      <c r="E710" s="4">
        <f t="shared" si="11"/>
        <v>78.55</v>
      </c>
    </row>
    <row r="711" spans="1:5" x14ac:dyDescent="0.35">
      <c r="A711" s="16">
        <v>58</v>
      </c>
      <c r="B711" s="17" t="s">
        <v>22</v>
      </c>
      <c r="C711" s="18">
        <v>72.099999999999994</v>
      </c>
      <c r="E711" s="4">
        <f t="shared" si="11"/>
        <v>65.05</v>
      </c>
    </row>
    <row r="712" spans="1:5" x14ac:dyDescent="0.35">
      <c r="A712" s="13">
        <v>78.3</v>
      </c>
      <c r="B712" s="14" t="s">
        <v>16</v>
      </c>
      <c r="C712" s="15">
        <v>94.6</v>
      </c>
      <c r="E712" s="4">
        <f t="shared" si="11"/>
        <v>86.449999999999989</v>
      </c>
    </row>
    <row r="713" spans="1:5" x14ac:dyDescent="0.35">
      <c r="A713" s="16">
        <v>64.7</v>
      </c>
      <c r="B713" s="17" t="s">
        <v>21</v>
      </c>
      <c r="C713" s="18">
        <v>67.099999999999994</v>
      </c>
      <c r="E713" s="4">
        <f t="shared" si="11"/>
        <v>65.900000000000006</v>
      </c>
    </row>
    <row r="714" spans="1:5" x14ac:dyDescent="0.35">
      <c r="A714" s="13">
        <v>59.8</v>
      </c>
      <c r="B714" s="14" t="s">
        <v>22</v>
      </c>
      <c r="C714" s="15">
        <v>72.2</v>
      </c>
      <c r="E714" s="4">
        <f t="shared" si="11"/>
        <v>66</v>
      </c>
    </row>
    <row r="715" spans="1:5" x14ac:dyDescent="0.35">
      <c r="A715" s="16">
        <v>62.3</v>
      </c>
      <c r="B715" s="17" t="s">
        <v>16</v>
      </c>
      <c r="C715" s="18">
        <v>95.6</v>
      </c>
      <c r="E715" s="4">
        <f t="shared" si="11"/>
        <v>78.949999999999989</v>
      </c>
    </row>
    <row r="716" spans="1:5" x14ac:dyDescent="0.35">
      <c r="A716" s="13">
        <v>78.400000000000006</v>
      </c>
      <c r="B716" s="14" t="s">
        <v>16</v>
      </c>
      <c r="C716" s="15">
        <v>91.9</v>
      </c>
      <c r="E716" s="4">
        <f t="shared" si="11"/>
        <v>85.15</v>
      </c>
    </row>
    <row r="717" spans="1:5" x14ac:dyDescent="0.35">
      <c r="A717" s="16">
        <v>62.5</v>
      </c>
      <c r="B717" s="17" t="s">
        <v>25</v>
      </c>
      <c r="C717" s="18">
        <v>54.1</v>
      </c>
      <c r="E717" s="4">
        <f t="shared" si="11"/>
        <v>58.3</v>
      </c>
    </row>
    <row r="718" spans="1:5" x14ac:dyDescent="0.35">
      <c r="A718" s="13">
        <v>68.599999999999994</v>
      </c>
      <c r="B718" s="14" t="s">
        <v>16</v>
      </c>
      <c r="C718" s="15">
        <v>98.5</v>
      </c>
      <c r="E718" s="4">
        <f t="shared" si="11"/>
        <v>83.55</v>
      </c>
    </row>
    <row r="719" spans="1:5" x14ac:dyDescent="0.35">
      <c r="A719" s="16">
        <v>70.2</v>
      </c>
      <c r="B719" s="17" t="s">
        <v>20</v>
      </c>
      <c r="C719" s="18">
        <v>85</v>
      </c>
      <c r="E719" s="4">
        <f t="shared" si="11"/>
        <v>77.599999999999994</v>
      </c>
    </row>
    <row r="720" spans="1:5" x14ac:dyDescent="0.35">
      <c r="A720" s="13">
        <v>47</v>
      </c>
      <c r="B720" s="14" t="s">
        <v>16</v>
      </c>
      <c r="C720" s="15">
        <v>99.1</v>
      </c>
      <c r="E720" s="4">
        <f t="shared" si="11"/>
        <v>73.05</v>
      </c>
    </row>
    <row r="721" spans="1:5" x14ac:dyDescent="0.35">
      <c r="A721" s="16">
        <v>52.3</v>
      </c>
      <c r="B721" s="17" t="s">
        <v>22</v>
      </c>
      <c r="C721" s="18">
        <v>78.2</v>
      </c>
      <c r="E721" s="4">
        <f t="shared" si="11"/>
        <v>65.25</v>
      </c>
    </row>
    <row r="722" spans="1:5" x14ac:dyDescent="0.35">
      <c r="A722" s="13">
        <v>74</v>
      </c>
      <c r="B722" s="14" t="s">
        <v>20</v>
      </c>
      <c r="C722" s="15">
        <v>83.8</v>
      </c>
      <c r="E722" s="4">
        <f t="shared" si="11"/>
        <v>78.900000000000006</v>
      </c>
    </row>
    <row r="723" spans="1:5" x14ac:dyDescent="0.35">
      <c r="A723" s="16">
        <v>61.2</v>
      </c>
      <c r="B723" s="17" t="s">
        <v>22</v>
      </c>
      <c r="C723" s="18">
        <v>70.7</v>
      </c>
      <c r="E723" s="4">
        <f t="shared" si="11"/>
        <v>65.95</v>
      </c>
    </row>
    <row r="724" spans="1:5" x14ac:dyDescent="0.35">
      <c r="A724" s="13">
        <v>82.7</v>
      </c>
      <c r="B724" s="14" t="s">
        <v>21</v>
      </c>
      <c r="C724" s="15">
        <v>69.900000000000006</v>
      </c>
      <c r="E724" s="4">
        <f t="shared" si="11"/>
        <v>76.300000000000011</v>
      </c>
    </row>
    <row r="725" spans="1:5" x14ac:dyDescent="0.35">
      <c r="A725" s="16">
        <v>81.599999999999994</v>
      </c>
      <c r="B725" s="17" t="s">
        <v>16</v>
      </c>
      <c r="C725" s="18">
        <v>93.7</v>
      </c>
      <c r="E725" s="4">
        <f t="shared" si="11"/>
        <v>87.65</v>
      </c>
    </row>
    <row r="726" spans="1:5" x14ac:dyDescent="0.35">
      <c r="A726" s="13">
        <v>78.599999999999994</v>
      </c>
      <c r="B726" s="14" t="s">
        <v>20</v>
      </c>
      <c r="C726" s="15">
        <v>84.9</v>
      </c>
      <c r="E726" s="4">
        <f t="shared" si="11"/>
        <v>81.75</v>
      </c>
    </row>
    <row r="727" spans="1:5" x14ac:dyDescent="0.35">
      <c r="A727" s="16">
        <v>91.8</v>
      </c>
      <c r="B727" s="17" t="s">
        <v>16</v>
      </c>
      <c r="C727" s="18">
        <v>100</v>
      </c>
      <c r="E727" s="4">
        <f t="shared" si="11"/>
        <v>95.9</v>
      </c>
    </row>
    <row r="728" spans="1:5" x14ac:dyDescent="0.35">
      <c r="A728" s="13">
        <v>69</v>
      </c>
      <c r="B728" s="14" t="s">
        <v>16</v>
      </c>
      <c r="C728" s="15">
        <v>97.5</v>
      </c>
      <c r="E728" s="4">
        <f t="shared" si="11"/>
        <v>83.25</v>
      </c>
    </row>
    <row r="729" spans="1:5" x14ac:dyDescent="0.35">
      <c r="A729" s="16">
        <v>77.8</v>
      </c>
      <c r="B729" s="17" t="s">
        <v>20</v>
      </c>
      <c r="C729" s="18">
        <v>88</v>
      </c>
      <c r="E729" s="4">
        <f t="shared" si="11"/>
        <v>82.9</v>
      </c>
    </row>
    <row r="730" spans="1:5" x14ac:dyDescent="0.35">
      <c r="A730" s="13">
        <v>63</v>
      </c>
      <c r="B730" s="14" t="s">
        <v>20</v>
      </c>
      <c r="C730" s="15">
        <v>85</v>
      </c>
      <c r="E730" s="4">
        <f t="shared" si="11"/>
        <v>74</v>
      </c>
    </row>
    <row r="731" spans="1:5" x14ac:dyDescent="0.35">
      <c r="A731" s="16">
        <v>99.4</v>
      </c>
      <c r="B731" s="17" t="s">
        <v>16</v>
      </c>
      <c r="C731" s="18">
        <v>98.9</v>
      </c>
      <c r="E731" s="4">
        <f t="shared" si="11"/>
        <v>99.15</v>
      </c>
    </row>
    <row r="732" spans="1:5" x14ac:dyDescent="0.35">
      <c r="A732" s="13">
        <v>93.8</v>
      </c>
      <c r="B732" s="14" t="s">
        <v>16</v>
      </c>
      <c r="C732" s="15">
        <v>100</v>
      </c>
      <c r="E732" s="4">
        <f t="shared" si="11"/>
        <v>96.9</v>
      </c>
    </row>
    <row r="733" spans="1:5" x14ac:dyDescent="0.35">
      <c r="A733" s="16">
        <v>70.099999999999994</v>
      </c>
      <c r="B733" s="17" t="s">
        <v>20</v>
      </c>
      <c r="C733" s="18">
        <v>85</v>
      </c>
      <c r="E733" s="4">
        <f t="shared" si="11"/>
        <v>77.55</v>
      </c>
    </row>
    <row r="734" spans="1:5" x14ac:dyDescent="0.35">
      <c r="A734" s="13">
        <v>74.599999999999994</v>
      </c>
      <c r="B734" s="14" t="s">
        <v>22</v>
      </c>
      <c r="C734" s="15">
        <v>74.3</v>
      </c>
      <c r="E734" s="4">
        <f t="shared" si="11"/>
        <v>74.449999999999989</v>
      </c>
    </row>
    <row r="735" spans="1:5" x14ac:dyDescent="0.35">
      <c r="A735" s="16">
        <v>86.3</v>
      </c>
      <c r="B735" s="17" t="s">
        <v>16</v>
      </c>
      <c r="C735" s="18">
        <v>99.6</v>
      </c>
      <c r="E735" s="4">
        <f t="shared" si="11"/>
        <v>92.949999999999989</v>
      </c>
    </row>
    <row r="736" spans="1:5" x14ac:dyDescent="0.35">
      <c r="A736" s="13">
        <v>68.2</v>
      </c>
      <c r="B736" s="14" t="s">
        <v>22</v>
      </c>
      <c r="C736" s="15">
        <v>79.8</v>
      </c>
      <c r="E736" s="4">
        <f t="shared" si="11"/>
        <v>74</v>
      </c>
    </row>
    <row r="737" spans="1:5" x14ac:dyDescent="0.35">
      <c r="A737" s="16">
        <v>62.1</v>
      </c>
      <c r="B737" s="17" t="s">
        <v>16</v>
      </c>
      <c r="C737" s="18">
        <v>91.3</v>
      </c>
      <c r="E737" s="4">
        <f t="shared" si="11"/>
        <v>76.7</v>
      </c>
    </row>
    <row r="738" spans="1:5" x14ac:dyDescent="0.35">
      <c r="A738" s="13">
        <v>80.5</v>
      </c>
      <c r="B738" s="14" t="s">
        <v>16</v>
      </c>
      <c r="C738" s="15">
        <v>95</v>
      </c>
      <c r="E738" s="4">
        <f t="shared" si="11"/>
        <v>87.75</v>
      </c>
    </row>
    <row r="739" spans="1:5" x14ac:dyDescent="0.35">
      <c r="A739" s="16">
        <v>70.900000000000006</v>
      </c>
      <c r="B739" s="17" t="s">
        <v>21</v>
      </c>
      <c r="C739" s="18">
        <v>66.599999999999994</v>
      </c>
      <c r="E739" s="4">
        <f t="shared" si="11"/>
        <v>68.75</v>
      </c>
    </row>
    <row r="740" spans="1:5" x14ac:dyDescent="0.35">
      <c r="A740" s="13">
        <v>72.2</v>
      </c>
      <c r="B740" s="14" t="s">
        <v>16</v>
      </c>
      <c r="C740" s="15">
        <v>93.1</v>
      </c>
      <c r="E740" s="4">
        <f t="shared" si="11"/>
        <v>82.65</v>
      </c>
    </row>
    <row r="741" spans="1:5" x14ac:dyDescent="0.35">
      <c r="A741" s="16">
        <v>60</v>
      </c>
      <c r="B741" s="17" t="s">
        <v>20</v>
      </c>
      <c r="C741" s="18">
        <v>81.8</v>
      </c>
      <c r="E741" s="4">
        <f t="shared" si="11"/>
        <v>70.900000000000006</v>
      </c>
    </row>
    <row r="742" spans="1:5" x14ac:dyDescent="0.35">
      <c r="A742" s="13">
        <v>49.4</v>
      </c>
      <c r="B742" s="14" t="s">
        <v>21</v>
      </c>
      <c r="C742" s="15">
        <v>62.9</v>
      </c>
      <c r="E742" s="4">
        <f t="shared" si="11"/>
        <v>56.15</v>
      </c>
    </row>
    <row r="743" spans="1:5" x14ac:dyDescent="0.35">
      <c r="A743" s="16">
        <v>72.8</v>
      </c>
      <c r="B743" s="17" t="s">
        <v>16</v>
      </c>
      <c r="C743" s="18">
        <v>94</v>
      </c>
      <c r="E743" s="4">
        <f t="shared" si="11"/>
        <v>83.4</v>
      </c>
    </row>
    <row r="744" spans="1:5" x14ac:dyDescent="0.35">
      <c r="A744" s="13">
        <v>80.900000000000006</v>
      </c>
      <c r="B744" s="14" t="s">
        <v>20</v>
      </c>
      <c r="C744" s="15">
        <v>85</v>
      </c>
      <c r="E744" s="4">
        <f t="shared" si="11"/>
        <v>82.95</v>
      </c>
    </row>
    <row r="745" spans="1:5" x14ac:dyDescent="0.35">
      <c r="A745" s="16">
        <v>67.3</v>
      </c>
      <c r="B745" s="17" t="s">
        <v>20</v>
      </c>
      <c r="C745" s="18">
        <v>82.4</v>
      </c>
      <c r="E745" s="4">
        <f t="shared" si="11"/>
        <v>74.849999999999994</v>
      </c>
    </row>
    <row r="746" spans="1:5" x14ac:dyDescent="0.35">
      <c r="A746" s="13">
        <v>87.2</v>
      </c>
      <c r="B746" s="14" t="s">
        <v>20</v>
      </c>
      <c r="C746" s="15">
        <v>89.5</v>
      </c>
      <c r="E746" s="4">
        <f t="shared" si="11"/>
        <v>88.35</v>
      </c>
    </row>
    <row r="747" spans="1:5" x14ac:dyDescent="0.35">
      <c r="A747" s="16">
        <v>61.6</v>
      </c>
      <c r="B747" s="17" t="s">
        <v>20</v>
      </c>
      <c r="C747" s="18">
        <v>83.3</v>
      </c>
      <c r="E747" s="4">
        <f t="shared" si="11"/>
        <v>72.45</v>
      </c>
    </row>
    <row r="748" spans="1:5" x14ac:dyDescent="0.35">
      <c r="A748" s="13">
        <v>57.3</v>
      </c>
      <c r="B748" s="14" t="s">
        <v>16</v>
      </c>
      <c r="C748" s="15">
        <v>100</v>
      </c>
      <c r="E748" s="4">
        <f t="shared" si="11"/>
        <v>78.650000000000006</v>
      </c>
    </row>
    <row r="749" spans="1:5" x14ac:dyDescent="0.35">
      <c r="A749" s="16">
        <v>69.2</v>
      </c>
      <c r="B749" s="17" t="s">
        <v>16</v>
      </c>
      <c r="C749" s="18">
        <v>92.4</v>
      </c>
      <c r="E749" s="4">
        <f t="shared" si="11"/>
        <v>80.800000000000011</v>
      </c>
    </row>
    <row r="750" spans="1:5" x14ac:dyDescent="0.35">
      <c r="A750" s="13">
        <v>69</v>
      </c>
      <c r="B750" s="14" t="s">
        <v>22</v>
      </c>
      <c r="C750" s="15">
        <v>77</v>
      </c>
      <c r="E750" s="4">
        <f t="shared" si="11"/>
        <v>73</v>
      </c>
    </row>
    <row r="751" spans="1:5" x14ac:dyDescent="0.35">
      <c r="A751" s="16">
        <v>79.2</v>
      </c>
      <c r="B751" s="17" t="s">
        <v>16</v>
      </c>
      <c r="C751" s="18">
        <v>95.1</v>
      </c>
      <c r="E751" s="4">
        <f t="shared" si="11"/>
        <v>87.15</v>
      </c>
    </row>
    <row r="752" spans="1:5" x14ac:dyDescent="0.35">
      <c r="A752" s="13">
        <v>60.7</v>
      </c>
      <c r="B752" s="14" t="s">
        <v>20</v>
      </c>
      <c r="C752" s="15">
        <v>88.8</v>
      </c>
      <c r="E752" s="4">
        <f t="shared" si="11"/>
        <v>74.75</v>
      </c>
    </row>
    <row r="753" spans="1:5" x14ac:dyDescent="0.35">
      <c r="A753" s="16">
        <v>86.4</v>
      </c>
      <c r="B753" s="17" t="s">
        <v>16</v>
      </c>
      <c r="C753" s="18">
        <v>93.2</v>
      </c>
      <c r="E753" s="4">
        <f t="shared" si="11"/>
        <v>89.800000000000011</v>
      </c>
    </row>
    <row r="754" spans="1:5" x14ac:dyDescent="0.35">
      <c r="A754" s="13">
        <v>93.6</v>
      </c>
      <c r="B754" s="14" t="s">
        <v>16</v>
      </c>
      <c r="C754" s="15">
        <v>96.4</v>
      </c>
      <c r="E754" s="4">
        <f t="shared" si="11"/>
        <v>95</v>
      </c>
    </row>
    <row r="755" spans="1:5" x14ac:dyDescent="0.35">
      <c r="A755" s="16">
        <v>69.5</v>
      </c>
      <c r="B755" s="17" t="s">
        <v>21</v>
      </c>
      <c r="C755" s="18">
        <v>67.2</v>
      </c>
      <c r="E755" s="4">
        <f t="shared" si="11"/>
        <v>68.349999999999994</v>
      </c>
    </row>
    <row r="756" spans="1:5" x14ac:dyDescent="0.35">
      <c r="A756" s="13">
        <v>85</v>
      </c>
      <c r="B756" s="14" t="s">
        <v>20</v>
      </c>
      <c r="C756" s="15">
        <v>84.6</v>
      </c>
      <c r="E756" s="4">
        <f t="shared" si="11"/>
        <v>84.8</v>
      </c>
    </row>
    <row r="757" spans="1:5" x14ac:dyDescent="0.35">
      <c r="A757" s="16">
        <v>57.3</v>
      </c>
      <c r="B757" s="17" t="s">
        <v>20</v>
      </c>
      <c r="C757" s="18">
        <v>89.8</v>
      </c>
      <c r="E757" s="4">
        <f t="shared" si="11"/>
        <v>73.55</v>
      </c>
    </row>
    <row r="758" spans="1:5" x14ac:dyDescent="0.35">
      <c r="A758" s="13">
        <v>82.9</v>
      </c>
      <c r="B758" s="14" t="s">
        <v>16</v>
      </c>
      <c r="C758" s="15">
        <v>90.3</v>
      </c>
      <c r="E758" s="4">
        <f t="shared" si="11"/>
        <v>86.6</v>
      </c>
    </row>
    <row r="759" spans="1:5" x14ac:dyDescent="0.35">
      <c r="A759" s="16">
        <v>82.6</v>
      </c>
      <c r="B759" s="17" t="s">
        <v>20</v>
      </c>
      <c r="C759" s="18">
        <v>82.5</v>
      </c>
      <c r="E759" s="4">
        <f t="shared" si="11"/>
        <v>82.55</v>
      </c>
    </row>
    <row r="760" spans="1:5" x14ac:dyDescent="0.35">
      <c r="A760" s="13">
        <v>80.400000000000006</v>
      </c>
      <c r="B760" s="14" t="s">
        <v>20</v>
      </c>
      <c r="C760" s="15">
        <v>84.5</v>
      </c>
      <c r="E760" s="4">
        <f t="shared" si="11"/>
        <v>82.45</v>
      </c>
    </row>
    <row r="761" spans="1:5" x14ac:dyDescent="0.35">
      <c r="A761" s="16">
        <v>69.8</v>
      </c>
      <c r="B761" s="17" t="s">
        <v>22</v>
      </c>
      <c r="C761" s="18">
        <v>72.099999999999994</v>
      </c>
      <c r="E761" s="4">
        <f t="shared" si="11"/>
        <v>70.949999999999989</v>
      </c>
    </row>
    <row r="762" spans="1:5" x14ac:dyDescent="0.35">
      <c r="A762" s="13">
        <v>34.5</v>
      </c>
      <c r="B762" s="14" t="s">
        <v>25</v>
      </c>
      <c r="C762" s="15">
        <v>53.2</v>
      </c>
      <c r="E762" s="4">
        <f t="shared" si="11"/>
        <v>43.85</v>
      </c>
    </row>
    <row r="763" spans="1:5" x14ac:dyDescent="0.35">
      <c r="A763" s="16">
        <v>62.3</v>
      </c>
      <c r="B763" s="17" t="s">
        <v>22</v>
      </c>
      <c r="C763" s="18">
        <v>74</v>
      </c>
      <c r="E763" s="4">
        <f t="shared" si="11"/>
        <v>68.150000000000006</v>
      </c>
    </row>
    <row r="764" spans="1:5" x14ac:dyDescent="0.35">
      <c r="A764" s="13">
        <v>62.5</v>
      </c>
      <c r="B764" s="14" t="s">
        <v>16</v>
      </c>
      <c r="C764" s="15">
        <v>96.8</v>
      </c>
      <c r="E764" s="4">
        <f t="shared" si="11"/>
        <v>79.650000000000006</v>
      </c>
    </row>
    <row r="765" spans="1:5" x14ac:dyDescent="0.35">
      <c r="A765" s="16">
        <v>58.3</v>
      </c>
      <c r="B765" s="17" t="s">
        <v>20</v>
      </c>
      <c r="C765" s="18">
        <v>81.2</v>
      </c>
      <c r="E765" s="4">
        <f t="shared" si="11"/>
        <v>69.75</v>
      </c>
    </row>
    <row r="766" spans="1:5" x14ac:dyDescent="0.35">
      <c r="A766" s="13">
        <v>71.5</v>
      </c>
      <c r="B766" s="14" t="s">
        <v>20</v>
      </c>
      <c r="C766" s="15">
        <v>85.4</v>
      </c>
      <c r="E766" s="4">
        <f t="shared" si="11"/>
        <v>78.45</v>
      </c>
    </row>
    <row r="767" spans="1:5" x14ac:dyDescent="0.35">
      <c r="A767" s="16">
        <v>65</v>
      </c>
      <c r="B767" s="17" t="s">
        <v>20</v>
      </c>
      <c r="C767" s="18">
        <v>81.099999999999994</v>
      </c>
      <c r="E767" s="4">
        <f t="shared" si="11"/>
        <v>73.05</v>
      </c>
    </row>
    <row r="768" spans="1:5" x14ac:dyDescent="0.35">
      <c r="A768" s="13">
        <v>60.1</v>
      </c>
      <c r="B768" s="14" t="s">
        <v>20</v>
      </c>
      <c r="C768" s="15">
        <v>83.9</v>
      </c>
      <c r="E768" s="4">
        <f t="shared" si="11"/>
        <v>72</v>
      </c>
    </row>
    <row r="769" spans="1:5" x14ac:dyDescent="0.35">
      <c r="A769" s="16">
        <v>57.3</v>
      </c>
      <c r="B769" s="17" t="s">
        <v>22</v>
      </c>
      <c r="C769" s="18">
        <v>71.2</v>
      </c>
      <c r="E769" s="4">
        <f t="shared" si="11"/>
        <v>64.25</v>
      </c>
    </row>
    <row r="770" spans="1:5" x14ac:dyDescent="0.35">
      <c r="A770" s="13">
        <v>61.4</v>
      </c>
      <c r="B770" s="14" t="s">
        <v>20</v>
      </c>
      <c r="C770" s="15">
        <v>85.5</v>
      </c>
      <c r="E770" s="4">
        <f t="shared" si="11"/>
        <v>73.45</v>
      </c>
    </row>
    <row r="771" spans="1:5" x14ac:dyDescent="0.35">
      <c r="A771" s="16">
        <v>83.5</v>
      </c>
      <c r="B771" s="17" t="s">
        <v>16</v>
      </c>
      <c r="C771" s="18">
        <v>98.4</v>
      </c>
      <c r="E771" s="4">
        <f t="shared" ref="E771:E834" si="12">(A771+C771)/2</f>
        <v>90.95</v>
      </c>
    </row>
    <row r="772" spans="1:5" x14ac:dyDescent="0.35">
      <c r="A772" s="13">
        <v>62.1</v>
      </c>
      <c r="B772" s="14" t="s">
        <v>20</v>
      </c>
      <c r="C772" s="15">
        <v>82.6</v>
      </c>
      <c r="E772" s="4">
        <f t="shared" si="12"/>
        <v>72.349999999999994</v>
      </c>
    </row>
    <row r="773" spans="1:5" x14ac:dyDescent="0.35">
      <c r="A773" s="16">
        <v>63.8</v>
      </c>
      <c r="B773" s="17" t="s">
        <v>16</v>
      </c>
      <c r="C773" s="18">
        <v>91.6</v>
      </c>
      <c r="E773" s="4">
        <f t="shared" si="12"/>
        <v>77.699999999999989</v>
      </c>
    </row>
    <row r="774" spans="1:5" x14ac:dyDescent="0.35">
      <c r="A774" s="13">
        <v>64.5</v>
      </c>
      <c r="B774" s="14" t="s">
        <v>16</v>
      </c>
      <c r="C774" s="15">
        <v>91.3</v>
      </c>
      <c r="E774" s="4">
        <f t="shared" si="12"/>
        <v>77.900000000000006</v>
      </c>
    </row>
    <row r="775" spans="1:5" x14ac:dyDescent="0.35">
      <c r="A775" s="16">
        <v>74.099999999999994</v>
      </c>
      <c r="B775" s="17" t="s">
        <v>20</v>
      </c>
      <c r="C775" s="18">
        <v>84.3</v>
      </c>
      <c r="E775" s="4">
        <f t="shared" si="12"/>
        <v>79.199999999999989</v>
      </c>
    </row>
    <row r="776" spans="1:5" x14ac:dyDescent="0.35">
      <c r="A776" s="13">
        <v>75.5</v>
      </c>
      <c r="B776" s="14" t="s">
        <v>22</v>
      </c>
      <c r="C776" s="15">
        <v>74.599999999999994</v>
      </c>
      <c r="E776" s="4">
        <f t="shared" si="12"/>
        <v>75.05</v>
      </c>
    </row>
    <row r="777" spans="1:5" x14ac:dyDescent="0.35">
      <c r="A777" s="16">
        <v>33.5</v>
      </c>
      <c r="B777" s="17" t="s">
        <v>20</v>
      </c>
      <c r="C777" s="18">
        <v>88.6</v>
      </c>
      <c r="E777" s="4">
        <f t="shared" si="12"/>
        <v>61.05</v>
      </c>
    </row>
    <row r="778" spans="1:5" x14ac:dyDescent="0.35">
      <c r="A778" s="13">
        <v>82.3</v>
      </c>
      <c r="B778" s="14" t="s">
        <v>22</v>
      </c>
      <c r="C778" s="15">
        <v>73.599999999999994</v>
      </c>
      <c r="E778" s="4">
        <f t="shared" si="12"/>
        <v>77.949999999999989</v>
      </c>
    </row>
    <row r="779" spans="1:5" x14ac:dyDescent="0.35">
      <c r="A779" s="16">
        <v>87.2</v>
      </c>
      <c r="B779" s="17" t="s">
        <v>16</v>
      </c>
      <c r="C779" s="18">
        <v>95.8</v>
      </c>
      <c r="E779" s="4">
        <f t="shared" si="12"/>
        <v>91.5</v>
      </c>
    </row>
    <row r="780" spans="1:5" x14ac:dyDescent="0.35">
      <c r="A780" s="13">
        <v>57.4</v>
      </c>
      <c r="B780" s="14" t="s">
        <v>20</v>
      </c>
      <c r="C780" s="15">
        <v>87.1</v>
      </c>
      <c r="E780" s="4">
        <f t="shared" si="12"/>
        <v>72.25</v>
      </c>
    </row>
    <row r="781" spans="1:5" x14ac:dyDescent="0.35">
      <c r="A781" s="16">
        <v>58.3</v>
      </c>
      <c r="B781" s="17" t="s">
        <v>20</v>
      </c>
      <c r="C781" s="18">
        <v>89.9</v>
      </c>
      <c r="E781" s="4">
        <f t="shared" si="12"/>
        <v>74.099999999999994</v>
      </c>
    </row>
    <row r="782" spans="1:5" x14ac:dyDescent="0.35">
      <c r="A782" s="13">
        <v>64.599999999999994</v>
      </c>
      <c r="B782" s="14" t="s">
        <v>22</v>
      </c>
      <c r="C782" s="15">
        <v>79.099999999999994</v>
      </c>
      <c r="E782" s="4">
        <f t="shared" si="12"/>
        <v>71.849999999999994</v>
      </c>
    </row>
    <row r="783" spans="1:5" x14ac:dyDescent="0.35">
      <c r="A783" s="16">
        <v>60.9</v>
      </c>
      <c r="B783" s="17" t="s">
        <v>16</v>
      </c>
      <c r="C783" s="18">
        <v>97.6</v>
      </c>
      <c r="E783" s="4">
        <f t="shared" si="12"/>
        <v>79.25</v>
      </c>
    </row>
    <row r="784" spans="1:5" x14ac:dyDescent="0.35">
      <c r="A784" s="13">
        <v>72.7</v>
      </c>
      <c r="B784" s="14" t="s">
        <v>16</v>
      </c>
      <c r="C784" s="15">
        <v>90.3</v>
      </c>
      <c r="E784" s="4">
        <f t="shared" si="12"/>
        <v>81.5</v>
      </c>
    </row>
    <row r="785" spans="1:5" x14ac:dyDescent="0.35">
      <c r="A785" s="16">
        <v>46.6</v>
      </c>
      <c r="B785" s="17" t="s">
        <v>22</v>
      </c>
      <c r="C785" s="18">
        <v>78.099999999999994</v>
      </c>
      <c r="E785" s="4">
        <f t="shared" si="12"/>
        <v>62.349999999999994</v>
      </c>
    </row>
    <row r="786" spans="1:5" x14ac:dyDescent="0.35">
      <c r="A786" s="13">
        <v>56.6</v>
      </c>
      <c r="B786" s="14" t="s">
        <v>16</v>
      </c>
      <c r="C786" s="15">
        <v>92.6</v>
      </c>
      <c r="E786" s="4">
        <f t="shared" si="12"/>
        <v>74.599999999999994</v>
      </c>
    </row>
    <row r="787" spans="1:5" x14ac:dyDescent="0.35">
      <c r="A787" s="16">
        <v>88.5</v>
      </c>
      <c r="B787" s="17" t="s">
        <v>16</v>
      </c>
      <c r="C787" s="18">
        <v>97</v>
      </c>
      <c r="E787" s="4">
        <f t="shared" si="12"/>
        <v>92.75</v>
      </c>
    </row>
    <row r="788" spans="1:5" x14ac:dyDescent="0.35">
      <c r="A788" s="13">
        <v>58.9</v>
      </c>
      <c r="B788" s="14" t="s">
        <v>22</v>
      </c>
      <c r="C788" s="15">
        <v>77</v>
      </c>
      <c r="E788" s="4">
        <f t="shared" si="12"/>
        <v>67.95</v>
      </c>
    </row>
    <row r="789" spans="1:5" x14ac:dyDescent="0.35">
      <c r="A789" s="16">
        <v>84.9</v>
      </c>
      <c r="B789" s="17" t="s">
        <v>16</v>
      </c>
      <c r="C789" s="18">
        <v>96.8</v>
      </c>
      <c r="E789" s="4">
        <f t="shared" si="12"/>
        <v>90.85</v>
      </c>
    </row>
    <row r="790" spans="1:5" x14ac:dyDescent="0.35">
      <c r="A790" s="13">
        <v>74.3</v>
      </c>
      <c r="B790" s="14" t="s">
        <v>22</v>
      </c>
      <c r="C790" s="15">
        <v>72.099999999999994</v>
      </c>
      <c r="E790" s="4">
        <f t="shared" si="12"/>
        <v>73.199999999999989</v>
      </c>
    </row>
    <row r="791" spans="1:5" x14ac:dyDescent="0.35">
      <c r="A791" s="16">
        <v>48.3</v>
      </c>
      <c r="B791" s="17" t="s">
        <v>22</v>
      </c>
      <c r="C791" s="18">
        <v>75.400000000000006</v>
      </c>
      <c r="E791" s="4">
        <f t="shared" si="12"/>
        <v>61.85</v>
      </c>
    </row>
    <row r="792" spans="1:5" x14ac:dyDescent="0.35">
      <c r="A792" s="13">
        <v>77.599999999999994</v>
      </c>
      <c r="B792" s="14" t="s">
        <v>25</v>
      </c>
      <c r="C792" s="15">
        <v>57.6</v>
      </c>
      <c r="E792" s="4">
        <f t="shared" si="12"/>
        <v>67.599999999999994</v>
      </c>
    </row>
    <row r="793" spans="1:5" x14ac:dyDescent="0.35">
      <c r="A793" s="16">
        <v>68.599999999999994</v>
      </c>
      <c r="B793" s="17" t="s">
        <v>21</v>
      </c>
      <c r="C793" s="18">
        <v>67.599999999999994</v>
      </c>
      <c r="E793" s="4">
        <f t="shared" si="12"/>
        <v>68.099999999999994</v>
      </c>
    </row>
    <row r="794" spans="1:5" x14ac:dyDescent="0.35">
      <c r="A794" s="13">
        <v>64.5</v>
      </c>
      <c r="B794" s="14" t="s">
        <v>16</v>
      </c>
      <c r="C794" s="15">
        <v>91.2</v>
      </c>
      <c r="E794" s="4">
        <f t="shared" si="12"/>
        <v>77.849999999999994</v>
      </c>
    </row>
    <row r="795" spans="1:5" x14ac:dyDescent="0.35">
      <c r="A795" s="16">
        <v>72.900000000000006</v>
      </c>
      <c r="B795" s="17" t="s">
        <v>20</v>
      </c>
      <c r="C795" s="18">
        <v>86.8</v>
      </c>
      <c r="E795" s="4">
        <f t="shared" si="12"/>
        <v>79.849999999999994</v>
      </c>
    </row>
    <row r="796" spans="1:5" x14ac:dyDescent="0.35">
      <c r="A796" s="13">
        <v>75.7</v>
      </c>
      <c r="B796" s="14" t="s">
        <v>20</v>
      </c>
      <c r="C796" s="15">
        <v>89.5</v>
      </c>
      <c r="E796" s="4">
        <f t="shared" si="12"/>
        <v>82.6</v>
      </c>
    </row>
    <row r="797" spans="1:5" x14ac:dyDescent="0.35">
      <c r="A797" s="16">
        <v>78.5</v>
      </c>
      <c r="B797" s="17" t="s">
        <v>16</v>
      </c>
      <c r="C797" s="18">
        <v>100</v>
      </c>
      <c r="E797" s="4">
        <f t="shared" si="12"/>
        <v>89.25</v>
      </c>
    </row>
    <row r="798" spans="1:5" x14ac:dyDescent="0.35">
      <c r="A798" s="13">
        <v>84.1</v>
      </c>
      <c r="B798" s="14" t="s">
        <v>16</v>
      </c>
      <c r="C798" s="15">
        <v>93.4</v>
      </c>
      <c r="E798" s="4">
        <f t="shared" si="12"/>
        <v>88.75</v>
      </c>
    </row>
    <row r="799" spans="1:5" x14ac:dyDescent="0.35">
      <c r="A799" s="16">
        <v>74.900000000000006</v>
      </c>
      <c r="B799" s="17" t="s">
        <v>22</v>
      </c>
      <c r="C799" s="18">
        <v>78.7</v>
      </c>
      <c r="E799" s="4">
        <f t="shared" si="12"/>
        <v>76.800000000000011</v>
      </c>
    </row>
    <row r="800" spans="1:5" x14ac:dyDescent="0.35">
      <c r="A800" s="13">
        <v>53.5</v>
      </c>
      <c r="B800" s="14" t="s">
        <v>21</v>
      </c>
      <c r="C800" s="15">
        <v>60.8</v>
      </c>
      <c r="E800" s="4">
        <f t="shared" si="12"/>
        <v>57.15</v>
      </c>
    </row>
    <row r="801" spans="1:5" x14ac:dyDescent="0.35">
      <c r="A801" s="16">
        <v>64.3</v>
      </c>
      <c r="B801" s="17" t="s">
        <v>16</v>
      </c>
      <c r="C801" s="18">
        <v>96.1</v>
      </c>
      <c r="E801" s="4">
        <f t="shared" si="12"/>
        <v>80.199999999999989</v>
      </c>
    </row>
    <row r="802" spans="1:5" x14ac:dyDescent="0.35">
      <c r="A802" s="13">
        <v>100</v>
      </c>
      <c r="B802" s="14" t="s">
        <v>20</v>
      </c>
      <c r="C802" s="15">
        <v>83</v>
      </c>
      <c r="E802" s="4">
        <f t="shared" si="12"/>
        <v>91.5</v>
      </c>
    </row>
    <row r="803" spans="1:5" x14ac:dyDescent="0.35">
      <c r="A803" s="16">
        <v>78.7</v>
      </c>
      <c r="B803" s="17" t="s">
        <v>16</v>
      </c>
      <c r="C803" s="18">
        <v>94</v>
      </c>
      <c r="E803" s="4">
        <f t="shared" si="12"/>
        <v>86.35</v>
      </c>
    </row>
    <row r="804" spans="1:5" x14ac:dyDescent="0.35">
      <c r="A804" s="13">
        <v>98.4</v>
      </c>
      <c r="B804" s="14" t="s">
        <v>16</v>
      </c>
      <c r="C804" s="15">
        <v>100</v>
      </c>
      <c r="E804" s="4">
        <f t="shared" si="12"/>
        <v>99.2</v>
      </c>
    </row>
    <row r="805" spans="1:5" x14ac:dyDescent="0.35">
      <c r="A805" s="16">
        <v>86.7</v>
      </c>
      <c r="B805" s="17" t="s">
        <v>16</v>
      </c>
      <c r="C805" s="18">
        <v>94.6</v>
      </c>
      <c r="E805" s="4">
        <f t="shared" si="12"/>
        <v>90.65</v>
      </c>
    </row>
    <row r="806" spans="1:5" x14ac:dyDescent="0.35">
      <c r="A806" s="13">
        <v>72.900000000000006</v>
      </c>
      <c r="B806" s="14" t="s">
        <v>20</v>
      </c>
      <c r="C806" s="15">
        <v>87.7</v>
      </c>
      <c r="E806" s="4">
        <f t="shared" si="12"/>
        <v>80.300000000000011</v>
      </c>
    </row>
    <row r="807" spans="1:5" x14ac:dyDescent="0.35">
      <c r="A807" s="16">
        <v>73.599999999999994</v>
      </c>
      <c r="B807" s="17" t="s">
        <v>20</v>
      </c>
      <c r="C807" s="18">
        <v>82.1</v>
      </c>
      <c r="E807" s="4">
        <f t="shared" si="12"/>
        <v>77.849999999999994</v>
      </c>
    </row>
    <row r="808" spans="1:5" x14ac:dyDescent="0.35">
      <c r="A808" s="13">
        <v>69.599999999999994</v>
      </c>
      <c r="B808" s="14" t="s">
        <v>20</v>
      </c>
      <c r="C808" s="15">
        <v>80.099999999999994</v>
      </c>
      <c r="E808" s="4">
        <f t="shared" si="12"/>
        <v>74.849999999999994</v>
      </c>
    </row>
    <row r="809" spans="1:5" x14ac:dyDescent="0.35">
      <c r="A809" s="16">
        <v>49.1</v>
      </c>
      <c r="B809" s="17" t="s">
        <v>25</v>
      </c>
      <c r="C809" s="18">
        <v>57.8</v>
      </c>
      <c r="E809" s="4">
        <f t="shared" si="12"/>
        <v>53.45</v>
      </c>
    </row>
    <row r="810" spans="1:5" x14ac:dyDescent="0.35">
      <c r="A810" s="13">
        <v>70.2</v>
      </c>
      <c r="B810" s="14" t="s">
        <v>22</v>
      </c>
      <c r="C810" s="15">
        <v>74.3</v>
      </c>
      <c r="E810" s="4">
        <f t="shared" si="12"/>
        <v>72.25</v>
      </c>
    </row>
    <row r="811" spans="1:5" x14ac:dyDescent="0.35">
      <c r="A811" s="16">
        <v>84.5</v>
      </c>
      <c r="B811" s="17" t="s">
        <v>20</v>
      </c>
      <c r="C811" s="18">
        <v>82.5</v>
      </c>
      <c r="E811" s="4">
        <f t="shared" si="12"/>
        <v>83.5</v>
      </c>
    </row>
    <row r="812" spans="1:5" x14ac:dyDescent="0.35">
      <c r="A812" s="13">
        <v>62.8</v>
      </c>
      <c r="B812" s="14" t="s">
        <v>20</v>
      </c>
      <c r="C812" s="15">
        <v>85.9</v>
      </c>
      <c r="E812" s="4">
        <f t="shared" si="12"/>
        <v>74.349999999999994</v>
      </c>
    </row>
    <row r="813" spans="1:5" x14ac:dyDescent="0.35">
      <c r="A813" s="16">
        <v>74.900000000000006</v>
      </c>
      <c r="B813" s="17" t="s">
        <v>20</v>
      </c>
      <c r="C813" s="18">
        <v>88.4</v>
      </c>
      <c r="E813" s="4">
        <f t="shared" si="12"/>
        <v>81.650000000000006</v>
      </c>
    </row>
    <row r="814" spans="1:5" x14ac:dyDescent="0.35">
      <c r="A814" s="13">
        <v>80.2</v>
      </c>
      <c r="B814" s="14" t="s">
        <v>16</v>
      </c>
      <c r="C814" s="15">
        <v>100</v>
      </c>
      <c r="E814" s="4">
        <f t="shared" si="12"/>
        <v>90.1</v>
      </c>
    </row>
    <row r="815" spans="1:5" x14ac:dyDescent="0.35">
      <c r="A815" s="16">
        <v>59.1</v>
      </c>
      <c r="B815" s="17" t="s">
        <v>22</v>
      </c>
      <c r="C815" s="18">
        <v>75.599999999999994</v>
      </c>
      <c r="E815" s="4">
        <f t="shared" si="12"/>
        <v>67.349999999999994</v>
      </c>
    </row>
    <row r="816" spans="1:5" x14ac:dyDescent="0.35">
      <c r="A816" s="13">
        <v>64.599999999999994</v>
      </c>
      <c r="B816" s="14" t="s">
        <v>22</v>
      </c>
      <c r="C816" s="15">
        <v>78</v>
      </c>
      <c r="E816" s="4">
        <f t="shared" si="12"/>
        <v>71.3</v>
      </c>
    </row>
    <row r="817" spans="1:5" x14ac:dyDescent="0.35">
      <c r="A817" s="16">
        <v>57.8</v>
      </c>
      <c r="B817" s="17" t="s">
        <v>20</v>
      </c>
      <c r="C817" s="18">
        <v>80</v>
      </c>
      <c r="E817" s="4">
        <f t="shared" si="12"/>
        <v>68.900000000000006</v>
      </c>
    </row>
    <row r="818" spans="1:5" x14ac:dyDescent="0.35">
      <c r="A818" s="13">
        <v>60.1</v>
      </c>
      <c r="B818" s="14" t="s">
        <v>20</v>
      </c>
      <c r="C818" s="15">
        <v>80.2</v>
      </c>
      <c r="E818" s="4">
        <f t="shared" si="12"/>
        <v>70.150000000000006</v>
      </c>
    </row>
    <row r="819" spans="1:5" x14ac:dyDescent="0.35">
      <c r="A819" s="16">
        <v>54.5</v>
      </c>
      <c r="B819" s="17" t="s">
        <v>20</v>
      </c>
      <c r="C819" s="18">
        <v>82.2</v>
      </c>
      <c r="E819" s="4">
        <f t="shared" si="12"/>
        <v>68.349999999999994</v>
      </c>
    </row>
    <row r="820" spans="1:5" x14ac:dyDescent="0.35">
      <c r="A820" s="13">
        <v>59.2</v>
      </c>
      <c r="B820" s="14" t="s">
        <v>22</v>
      </c>
      <c r="C820" s="15">
        <v>79.599999999999994</v>
      </c>
      <c r="E820" s="4">
        <f t="shared" si="12"/>
        <v>69.400000000000006</v>
      </c>
    </row>
    <row r="821" spans="1:5" x14ac:dyDescent="0.35">
      <c r="A821" s="16">
        <v>87</v>
      </c>
      <c r="B821" s="17" t="s">
        <v>16</v>
      </c>
      <c r="C821" s="18">
        <v>96.3</v>
      </c>
      <c r="E821" s="4">
        <f t="shared" si="12"/>
        <v>91.65</v>
      </c>
    </row>
    <row r="822" spans="1:5" x14ac:dyDescent="0.35">
      <c r="A822" s="13">
        <v>59</v>
      </c>
      <c r="B822" s="14" t="s">
        <v>21</v>
      </c>
      <c r="C822" s="15">
        <v>65.400000000000006</v>
      </c>
      <c r="E822" s="4">
        <f t="shared" si="12"/>
        <v>62.2</v>
      </c>
    </row>
    <row r="823" spans="1:5" x14ac:dyDescent="0.35">
      <c r="A823" s="16">
        <v>71.5</v>
      </c>
      <c r="B823" s="17" t="s">
        <v>22</v>
      </c>
      <c r="C823" s="18">
        <v>79.900000000000006</v>
      </c>
      <c r="E823" s="4">
        <f t="shared" si="12"/>
        <v>75.7</v>
      </c>
    </row>
    <row r="824" spans="1:5" x14ac:dyDescent="0.35">
      <c r="A824" s="13">
        <v>64</v>
      </c>
      <c r="B824" s="14" t="s">
        <v>22</v>
      </c>
      <c r="C824" s="15">
        <v>71.599999999999994</v>
      </c>
      <c r="E824" s="4">
        <f t="shared" si="12"/>
        <v>67.8</v>
      </c>
    </row>
    <row r="825" spans="1:5" x14ac:dyDescent="0.35">
      <c r="A825" s="16">
        <v>84.1</v>
      </c>
      <c r="B825" s="17" t="s">
        <v>16</v>
      </c>
      <c r="C825" s="18">
        <v>100</v>
      </c>
      <c r="E825" s="4">
        <f t="shared" si="12"/>
        <v>92.05</v>
      </c>
    </row>
    <row r="826" spans="1:5" x14ac:dyDescent="0.35">
      <c r="A826" s="13">
        <v>85.7</v>
      </c>
      <c r="B826" s="14" t="s">
        <v>16</v>
      </c>
      <c r="C826" s="15">
        <v>93.9</v>
      </c>
      <c r="E826" s="4">
        <f t="shared" si="12"/>
        <v>89.800000000000011</v>
      </c>
    </row>
    <row r="827" spans="1:5" x14ac:dyDescent="0.35">
      <c r="A827" s="16">
        <v>80.400000000000006</v>
      </c>
      <c r="B827" s="17" t="s">
        <v>20</v>
      </c>
      <c r="C827" s="18">
        <v>87.5</v>
      </c>
      <c r="E827" s="4">
        <f t="shared" si="12"/>
        <v>83.95</v>
      </c>
    </row>
    <row r="828" spans="1:5" x14ac:dyDescent="0.35">
      <c r="A828" s="13">
        <v>73.7</v>
      </c>
      <c r="B828" s="14" t="s">
        <v>20</v>
      </c>
      <c r="C828" s="15">
        <v>86.3</v>
      </c>
      <c r="E828" s="4">
        <f t="shared" si="12"/>
        <v>80</v>
      </c>
    </row>
    <row r="829" spans="1:5" x14ac:dyDescent="0.35">
      <c r="A829" s="16">
        <v>67.2</v>
      </c>
      <c r="B829" s="17" t="s">
        <v>22</v>
      </c>
      <c r="C829" s="18">
        <v>77.599999999999994</v>
      </c>
      <c r="E829" s="4">
        <f t="shared" si="12"/>
        <v>72.400000000000006</v>
      </c>
    </row>
    <row r="830" spans="1:5" x14ac:dyDescent="0.35">
      <c r="A830" s="13">
        <v>55.7</v>
      </c>
      <c r="B830" s="14" t="s">
        <v>22</v>
      </c>
      <c r="C830" s="15">
        <v>70.2</v>
      </c>
      <c r="E830" s="4">
        <f t="shared" si="12"/>
        <v>62.95</v>
      </c>
    </row>
    <row r="831" spans="1:5" x14ac:dyDescent="0.35">
      <c r="A831" s="16">
        <v>93.3</v>
      </c>
      <c r="B831" s="17" t="s">
        <v>16</v>
      </c>
      <c r="C831" s="18">
        <v>100</v>
      </c>
      <c r="E831" s="4">
        <f t="shared" si="12"/>
        <v>96.65</v>
      </c>
    </row>
    <row r="832" spans="1:5" x14ac:dyDescent="0.35">
      <c r="A832" s="13">
        <v>60.9</v>
      </c>
      <c r="B832" s="14" t="s">
        <v>22</v>
      </c>
      <c r="C832" s="15">
        <v>73.5</v>
      </c>
      <c r="E832" s="4">
        <f t="shared" si="12"/>
        <v>67.2</v>
      </c>
    </row>
    <row r="833" spans="1:5" x14ac:dyDescent="0.35">
      <c r="A833" s="16">
        <v>78</v>
      </c>
      <c r="B833" s="17" t="s">
        <v>16</v>
      </c>
      <c r="C833" s="18">
        <v>91.2</v>
      </c>
      <c r="E833" s="4">
        <f t="shared" si="12"/>
        <v>84.6</v>
      </c>
    </row>
    <row r="834" spans="1:5" x14ac:dyDescent="0.35">
      <c r="A834" s="13">
        <v>82.7</v>
      </c>
      <c r="B834" s="14" t="s">
        <v>22</v>
      </c>
      <c r="C834" s="15">
        <v>78.099999999999994</v>
      </c>
      <c r="E834" s="4">
        <f t="shared" si="12"/>
        <v>80.400000000000006</v>
      </c>
    </row>
    <row r="835" spans="1:5" x14ac:dyDescent="0.35">
      <c r="A835" s="16">
        <v>63.3</v>
      </c>
      <c r="B835" s="17" t="s">
        <v>20</v>
      </c>
      <c r="C835" s="18">
        <v>89</v>
      </c>
      <c r="E835" s="4">
        <f t="shared" ref="E835:E898" si="13">(A835+C835)/2</f>
        <v>76.150000000000006</v>
      </c>
    </row>
    <row r="836" spans="1:5" x14ac:dyDescent="0.35">
      <c r="A836" s="13">
        <v>82.5</v>
      </c>
      <c r="B836" s="14" t="s">
        <v>20</v>
      </c>
      <c r="C836" s="15">
        <v>82</v>
      </c>
      <c r="E836" s="4">
        <f t="shared" si="13"/>
        <v>82.25</v>
      </c>
    </row>
    <row r="837" spans="1:5" x14ac:dyDescent="0.35">
      <c r="A837" s="16">
        <v>79.2</v>
      </c>
      <c r="B837" s="17" t="s">
        <v>20</v>
      </c>
      <c r="C837" s="18">
        <v>89.5</v>
      </c>
      <c r="E837" s="4">
        <f t="shared" si="13"/>
        <v>84.35</v>
      </c>
    </row>
    <row r="838" spans="1:5" x14ac:dyDescent="0.35">
      <c r="A838" s="13">
        <v>90.7</v>
      </c>
      <c r="B838" s="14" t="s">
        <v>16</v>
      </c>
      <c r="C838" s="15">
        <v>100</v>
      </c>
      <c r="E838" s="4">
        <f t="shared" si="13"/>
        <v>95.35</v>
      </c>
    </row>
    <row r="839" spans="1:5" x14ac:dyDescent="0.35">
      <c r="A839" s="16">
        <v>64.400000000000006</v>
      </c>
      <c r="B839" s="17" t="s">
        <v>20</v>
      </c>
      <c r="C839" s="18">
        <v>88.7</v>
      </c>
      <c r="E839" s="4">
        <f t="shared" si="13"/>
        <v>76.550000000000011</v>
      </c>
    </row>
    <row r="840" spans="1:5" x14ac:dyDescent="0.35">
      <c r="A840" s="13">
        <v>54.6</v>
      </c>
      <c r="B840" s="14" t="s">
        <v>20</v>
      </c>
      <c r="C840" s="15">
        <v>86</v>
      </c>
      <c r="E840" s="4">
        <f t="shared" si="13"/>
        <v>70.3</v>
      </c>
    </row>
    <row r="841" spans="1:5" x14ac:dyDescent="0.35">
      <c r="A841" s="16">
        <v>63.9</v>
      </c>
      <c r="B841" s="17" t="s">
        <v>20</v>
      </c>
      <c r="C841" s="18">
        <v>82.9</v>
      </c>
      <c r="E841" s="4">
        <f t="shared" si="13"/>
        <v>73.400000000000006</v>
      </c>
    </row>
    <row r="842" spans="1:5" x14ac:dyDescent="0.35">
      <c r="A842" s="13">
        <v>72.5</v>
      </c>
      <c r="B842" s="14" t="s">
        <v>20</v>
      </c>
      <c r="C842" s="15">
        <v>88.6</v>
      </c>
      <c r="E842" s="4">
        <f t="shared" si="13"/>
        <v>80.55</v>
      </c>
    </row>
    <row r="843" spans="1:5" x14ac:dyDescent="0.35">
      <c r="A843" s="16">
        <v>70.7</v>
      </c>
      <c r="B843" s="17" t="s">
        <v>22</v>
      </c>
      <c r="C843" s="18">
        <v>79.2</v>
      </c>
      <c r="E843" s="4">
        <f t="shared" si="13"/>
        <v>74.95</v>
      </c>
    </row>
    <row r="844" spans="1:5" x14ac:dyDescent="0.35">
      <c r="A844" s="13">
        <v>65.3</v>
      </c>
      <c r="B844" s="14" t="s">
        <v>20</v>
      </c>
      <c r="C844" s="15">
        <v>85.1</v>
      </c>
      <c r="E844" s="4">
        <f t="shared" si="13"/>
        <v>75.199999999999989</v>
      </c>
    </row>
    <row r="845" spans="1:5" x14ac:dyDescent="0.35">
      <c r="A845" s="16">
        <v>47.1</v>
      </c>
      <c r="B845" s="17" t="s">
        <v>20</v>
      </c>
      <c r="C845" s="18">
        <v>80.2</v>
      </c>
      <c r="E845" s="4">
        <f t="shared" si="13"/>
        <v>63.650000000000006</v>
      </c>
    </row>
    <row r="846" spans="1:5" x14ac:dyDescent="0.35">
      <c r="A846" s="13">
        <v>75.599999999999994</v>
      </c>
      <c r="B846" s="14" t="s">
        <v>20</v>
      </c>
      <c r="C846" s="15">
        <v>80.2</v>
      </c>
      <c r="E846" s="4">
        <f t="shared" si="13"/>
        <v>77.900000000000006</v>
      </c>
    </row>
    <row r="847" spans="1:5" x14ac:dyDescent="0.35">
      <c r="A847" s="16">
        <v>93.7</v>
      </c>
      <c r="B847" s="17" t="s">
        <v>20</v>
      </c>
      <c r="C847" s="18">
        <v>80.3</v>
      </c>
      <c r="E847" s="4">
        <f t="shared" si="13"/>
        <v>87</v>
      </c>
    </row>
    <row r="848" spans="1:5" x14ac:dyDescent="0.35">
      <c r="A848" s="13">
        <v>75.599999999999994</v>
      </c>
      <c r="B848" s="14" t="s">
        <v>21</v>
      </c>
      <c r="C848" s="15">
        <v>69.8</v>
      </c>
      <c r="E848" s="4">
        <f t="shared" si="13"/>
        <v>72.699999999999989</v>
      </c>
    </row>
    <row r="849" spans="1:5" x14ac:dyDescent="0.35">
      <c r="A849" s="16">
        <v>77.3</v>
      </c>
      <c r="B849" s="17" t="s">
        <v>16</v>
      </c>
      <c r="C849" s="18">
        <v>100</v>
      </c>
      <c r="E849" s="4">
        <f t="shared" si="13"/>
        <v>88.65</v>
      </c>
    </row>
    <row r="850" spans="1:5" x14ac:dyDescent="0.35">
      <c r="A850" s="13">
        <v>76.900000000000006</v>
      </c>
      <c r="B850" s="14" t="s">
        <v>20</v>
      </c>
      <c r="C850" s="15">
        <v>80.8</v>
      </c>
      <c r="E850" s="4">
        <f t="shared" si="13"/>
        <v>78.849999999999994</v>
      </c>
    </row>
    <row r="851" spans="1:5" x14ac:dyDescent="0.35">
      <c r="A851" s="16">
        <v>74.8</v>
      </c>
      <c r="B851" s="17" t="s">
        <v>16</v>
      </c>
      <c r="C851" s="18">
        <v>100</v>
      </c>
      <c r="E851" s="4">
        <f t="shared" si="13"/>
        <v>87.4</v>
      </c>
    </row>
    <row r="852" spans="1:5" x14ac:dyDescent="0.35">
      <c r="A852" s="13">
        <v>81.2</v>
      </c>
      <c r="B852" s="14" t="s">
        <v>16</v>
      </c>
      <c r="C852" s="15">
        <v>99.5</v>
      </c>
      <c r="E852" s="4">
        <f t="shared" si="13"/>
        <v>90.35</v>
      </c>
    </row>
    <row r="853" spans="1:5" x14ac:dyDescent="0.35">
      <c r="A853" s="16">
        <v>74.7</v>
      </c>
      <c r="B853" s="17" t="s">
        <v>20</v>
      </c>
      <c r="C853" s="18">
        <v>80.7</v>
      </c>
      <c r="E853" s="4">
        <f t="shared" si="13"/>
        <v>77.7</v>
      </c>
    </row>
    <row r="854" spans="1:5" x14ac:dyDescent="0.35">
      <c r="A854" s="13">
        <v>66.2</v>
      </c>
      <c r="B854" s="14" t="s">
        <v>20</v>
      </c>
      <c r="C854" s="15">
        <v>86.6</v>
      </c>
      <c r="E854" s="4">
        <f t="shared" si="13"/>
        <v>76.400000000000006</v>
      </c>
    </row>
    <row r="855" spans="1:5" x14ac:dyDescent="0.35">
      <c r="A855" s="16">
        <v>60.4</v>
      </c>
      <c r="B855" s="17" t="s">
        <v>16</v>
      </c>
      <c r="C855" s="18">
        <v>98.8</v>
      </c>
      <c r="E855" s="4">
        <f t="shared" si="13"/>
        <v>79.599999999999994</v>
      </c>
    </row>
    <row r="856" spans="1:5" x14ac:dyDescent="0.35">
      <c r="A856" s="13">
        <v>67</v>
      </c>
      <c r="B856" s="14" t="s">
        <v>20</v>
      </c>
      <c r="C856" s="15">
        <v>81.900000000000006</v>
      </c>
      <c r="E856" s="4">
        <f t="shared" si="13"/>
        <v>74.45</v>
      </c>
    </row>
    <row r="857" spans="1:5" x14ac:dyDescent="0.35">
      <c r="A857" s="16">
        <v>73.8</v>
      </c>
      <c r="B857" s="17" t="s">
        <v>22</v>
      </c>
      <c r="C857" s="18">
        <v>79</v>
      </c>
      <c r="E857" s="4">
        <f t="shared" si="13"/>
        <v>76.400000000000006</v>
      </c>
    </row>
    <row r="858" spans="1:5" x14ac:dyDescent="0.35">
      <c r="A858" s="13">
        <v>66.2</v>
      </c>
      <c r="B858" s="14" t="s">
        <v>16</v>
      </c>
      <c r="C858" s="15">
        <v>91.7</v>
      </c>
      <c r="E858" s="4">
        <f t="shared" si="13"/>
        <v>78.95</v>
      </c>
    </row>
    <row r="859" spans="1:5" x14ac:dyDescent="0.35">
      <c r="A859" s="16">
        <v>73.8</v>
      </c>
      <c r="B859" s="17" t="s">
        <v>22</v>
      </c>
      <c r="C859" s="18">
        <v>78.8</v>
      </c>
      <c r="E859" s="4">
        <f t="shared" si="13"/>
        <v>76.3</v>
      </c>
    </row>
    <row r="860" spans="1:5" x14ac:dyDescent="0.35">
      <c r="A860" s="13">
        <v>75.3</v>
      </c>
      <c r="B860" s="14" t="s">
        <v>20</v>
      </c>
      <c r="C860" s="15">
        <v>84.8</v>
      </c>
      <c r="E860" s="4">
        <f t="shared" si="13"/>
        <v>80.05</v>
      </c>
    </row>
    <row r="861" spans="1:5" x14ac:dyDescent="0.35">
      <c r="A861" s="16">
        <v>80</v>
      </c>
      <c r="B861" s="17" t="s">
        <v>21</v>
      </c>
      <c r="C861" s="18">
        <v>66.5</v>
      </c>
      <c r="E861" s="4">
        <f t="shared" si="13"/>
        <v>73.25</v>
      </c>
    </row>
    <row r="862" spans="1:5" x14ac:dyDescent="0.35">
      <c r="A862" s="13">
        <v>85.4</v>
      </c>
      <c r="B862" s="14" t="s">
        <v>16</v>
      </c>
      <c r="C862" s="15">
        <v>91.1</v>
      </c>
      <c r="E862" s="4">
        <f t="shared" si="13"/>
        <v>88.25</v>
      </c>
    </row>
    <row r="863" spans="1:5" x14ac:dyDescent="0.35">
      <c r="A863" s="16">
        <v>70.900000000000006</v>
      </c>
      <c r="B863" s="17" t="s">
        <v>22</v>
      </c>
      <c r="C863" s="18">
        <v>74.2</v>
      </c>
      <c r="E863" s="4">
        <f t="shared" si="13"/>
        <v>72.550000000000011</v>
      </c>
    </row>
    <row r="864" spans="1:5" x14ac:dyDescent="0.35">
      <c r="A864" s="13">
        <v>54.3</v>
      </c>
      <c r="B864" s="14" t="s">
        <v>20</v>
      </c>
      <c r="C864" s="15">
        <v>86.3</v>
      </c>
      <c r="E864" s="4">
        <f t="shared" si="13"/>
        <v>70.3</v>
      </c>
    </row>
    <row r="865" spans="1:5" x14ac:dyDescent="0.35">
      <c r="A865" s="16">
        <v>65.900000000000006</v>
      </c>
      <c r="B865" s="17" t="s">
        <v>22</v>
      </c>
      <c r="C865" s="18">
        <v>71.2</v>
      </c>
      <c r="E865" s="4">
        <f t="shared" si="13"/>
        <v>68.550000000000011</v>
      </c>
    </row>
    <row r="866" spans="1:5" x14ac:dyDescent="0.35">
      <c r="A866" s="13">
        <v>70.5</v>
      </c>
      <c r="B866" s="14" t="s">
        <v>20</v>
      </c>
      <c r="C866" s="15">
        <v>83.5</v>
      </c>
      <c r="E866" s="4">
        <f t="shared" si="13"/>
        <v>77</v>
      </c>
    </row>
    <row r="867" spans="1:5" x14ac:dyDescent="0.35">
      <c r="A867" s="16">
        <v>48</v>
      </c>
      <c r="B867" s="17" t="s">
        <v>20</v>
      </c>
      <c r="C867" s="18">
        <v>89.8</v>
      </c>
      <c r="E867" s="4">
        <f t="shared" si="13"/>
        <v>68.900000000000006</v>
      </c>
    </row>
    <row r="868" spans="1:5" x14ac:dyDescent="0.35">
      <c r="A868" s="13">
        <v>86.7</v>
      </c>
      <c r="B868" s="14" t="s">
        <v>20</v>
      </c>
      <c r="C868" s="15">
        <v>80.3</v>
      </c>
      <c r="E868" s="4">
        <f t="shared" si="13"/>
        <v>83.5</v>
      </c>
    </row>
    <row r="869" spans="1:5" x14ac:dyDescent="0.35">
      <c r="A869" s="16">
        <v>71.7</v>
      </c>
      <c r="B869" s="17" t="s">
        <v>16</v>
      </c>
      <c r="C869" s="18">
        <v>91.6</v>
      </c>
      <c r="E869" s="4">
        <f t="shared" si="13"/>
        <v>81.650000000000006</v>
      </c>
    </row>
    <row r="870" spans="1:5" x14ac:dyDescent="0.35">
      <c r="A870" s="13">
        <v>74.599999999999994</v>
      </c>
      <c r="B870" s="14" t="s">
        <v>16</v>
      </c>
      <c r="C870" s="15">
        <v>95.8</v>
      </c>
      <c r="E870" s="4">
        <f t="shared" si="13"/>
        <v>85.199999999999989</v>
      </c>
    </row>
    <row r="871" spans="1:5" x14ac:dyDescent="0.35">
      <c r="A871" s="16">
        <v>86.4</v>
      </c>
      <c r="B871" s="17" t="s">
        <v>20</v>
      </c>
      <c r="C871" s="18">
        <v>84.4</v>
      </c>
      <c r="E871" s="4">
        <f t="shared" si="13"/>
        <v>85.4</v>
      </c>
    </row>
    <row r="872" spans="1:5" x14ac:dyDescent="0.35">
      <c r="A872" s="13">
        <v>62.4</v>
      </c>
      <c r="B872" s="14" t="s">
        <v>16</v>
      </c>
      <c r="C872" s="15">
        <v>96.1</v>
      </c>
      <c r="E872" s="4">
        <f t="shared" si="13"/>
        <v>79.25</v>
      </c>
    </row>
    <row r="873" spans="1:5" x14ac:dyDescent="0.35">
      <c r="A873" s="16">
        <v>76.900000000000006</v>
      </c>
      <c r="B873" s="17" t="s">
        <v>16</v>
      </c>
      <c r="C873" s="18">
        <v>92.6</v>
      </c>
      <c r="E873" s="4">
        <f t="shared" si="13"/>
        <v>84.75</v>
      </c>
    </row>
    <row r="874" spans="1:5" x14ac:dyDescent="0.35">
      <c r="A874" s="13">
        <v>68.7</v>
      </c>
      <c r="B874" s="14" t="s">
        <v>22</v>
      </c>
      <c r="C874" s="15">
        <v>75.5</v>
      </c>
      <c r="E874" s="4">
        <f t="shared" si="13"/>
        <v>72.099999999999994</v>
      </c>
    </row>
    <row r="875" spans="1:5" x14ac:dyDescent="0.35">
      <c r="A875" s="16">
        <v>67.8</v>
      </c>
      <c r="B875" s="17" t="s">
        <v>20</v>
      </c>
      <c r="C875" s="18">
        <v>85.1</v>
      </c>
      <c r="E875" s="4">
        <f t="shared" si="13"/>
        <v>76.449999999999989</v>
      </c>
    </row>
    <row r="876" spans="1:5" x14ac:dyDescent="0.35">
      <c r="A876" s="13">
        <v>60.7</v>
      </c>
      <c r="B876" s="14" t="s">
        <v>16</v>
      </c>
      <c r="C876" s="15">
        <v>93.8</v>
      </c>
      <c r="E876" s="4">
        <f t="shared" si="13"/>
        <v>77.25</v>
      </c>
    </row>
    <row r="877" spans="1:5" x14ac:dyDescent="0.35">
      <c r="A877" s="16">
        <v>90</v>
      </c>
      <c r="B877" s="17" t="s">
        <v>20</v>
      </c>
      <c r="C877" s="18">
        <v>81.400000000000006</v>
      </c>
      <c r="E877" s="4">
        <f t="shared" si="13"/>
        <v>85.7</v>
      </c>
    </row>
    <row r="878" spans="1:5" x14ac:dyDescent="0.35">
      <c r="A878" s="13">
        <v>65.5</v>
      </c>
      <c r="B878" s="14" t="s">
        <v>16</v>
      </c>
      <c r="C878" s="15">
        <v>98.8</v>
      </c>
      <c r="E878" s="4">
        <f t="shared" si="13"/>
        <v>82.15</v>
      </c>
    </row>
    <row r="879" spans="1:5" x14ac:dyDescent="0.35">
      <c r="A879" s="16">
        <v>78.400000000000006</v>
      </c>
      <c r="B879" s="17" t="s">
        <v>21</v>
      </c>
      <c r="C879" s="18">
        <v>65.400000000000006</v>
      </c>
      <c r="E879" s="4">
        <f t="shared" si="13"/>
        <v>71.900000000000006</v>
      </c>
    </row>
    <row r="880" spans="1:5" x14ac:dyDescent="0.35">
      <c r="A880" s="13">
        <v>47.5</v>
      </c>
      <c r="B880" s="14" t="s">
        <v>22</v>
      </c>
      <c r="C880" s="15">
        <v>77.599999999999994</v>
      </c>
      <c r="E880" s="4">
        <f t="shared" si="13"/>
        <v>62.55</v>
      </c>
    </row>
    <row r="881" spans="1:5" x14ac:dyDescent="0.35">
      <c r="A881" s="16">
        <v>84.2</v>
      </c>
      <c r="B881" s="17" t="s">
        <v>20</v>
      </c>
      <c r="C881" s="18">
        <v>85.6</v>
      </c>
      <c r="E881" s="4">
        <f t="shared" si="13"/>
        <v>84.9</v>
      </c>
    </row>
    <row r="882" spans="1:5" x14ac:dyDescent="0.35">
      <c r="A882" s="13">
        <v>82.6</v>
      </c>
      <c r="B882" s="14" t="s">
        <v>20</v>
      </c>
      <c r="C882" s="15">
        <v>81.400000000000006</v>
      </c>
      <c r="E882" s="4">
        <f t="shared" si="13"/>
        <v>82</v>
      </c>
    </row>
    <row r="883" spans="1:5" x14ac:dyDescent="0.35">
      <c r="A883" s="16">
        <v>71.2</v>
      </c>
      <c r="B883" s="17" t="s">
        <v>20</v>
      </c>
      <c r="C883" s="18">
        <v>85.4</v>
      </c>
      <c r="E883" s="4">
        <f t="shared" si="13"/>
        <v>78.300000000000011</v>
      </c>
    </row>
    <row r="884" spans="1:5" x14ac:dyDescent="0.35">
      <c r="A884" s="13">
        <v>67.3</v>
      </c>
      <c r="B884" s="14" t="s">
        <v>22</v>
      </c>
      <c r="C884" s="15">
        <v>71.900000000000006</v>
      </c>
      <c r="E884" s="4">
        <f t="shared" si="13"/>
        <v>69.599999999999994</v>
      </c>
    </row>
    <row r="885" spans="1:5" x14ac:dyDescent="0.35">
      <c r="A885" s="16">
        <v>74.8</v>
      </c>
      <c r="B885" s="17" t="s">
        <v>16</v>
      </c>
      <c r="C885" s="18">
        <v>94.4</v>
      </c>
      <c r="E885" s="4">
        <f t="shared" si="13"/>
        <v>84.6</v>
      </c>
    </row>
    <row r="886" spans="1:5" x14ac:dyDescent="0.35">
      <c r="A886" s="13">
        <v>97.5</v>
      </c>
      <c r="B886" s="14" t="s">
        <v>16</v>
      </c>
      <c r="C886" s="15">
        <v>100</v>
      </c>
      <c r="E886" s="4">
        <f t="shared" si="13"/>
        <v>98.75</v>
      </c>
    </row>
    <row r="887" spans="1:5" x14ac:dyDescent="0.35">
      <c r="A887" s="16">
        <v>48.8</v>
      </c>
      <c r="B887" s="17" t="s">
        <v>22</v>
      </c>
      <c r="C887" s="18">
        <v>77.099999999999994</v>
      </c>
      <c r="E887" s="4">
        <f t="shared" si="13"/>
        <v>62.949999999999996</v>
      </c>
    </row>
    <row r="888" spans="1:5" x14ac:dyDescent="0.35">
      <c r="A888" s="13">
        <v>79.400000000000006</v>
      </c>
      <c r="B888" s="14" t="s">
        <v>22</v>
      </c>
      <c r="C888" s="15">
        <v>76.8</v>
      </c>
      <c r="E888" s="4">
        <f t="shared" si="13"/>
        <v>78.099999999999994</v>
      </c>
    </row>
    <row r="889" spans="1:5" x14ac:dyDescent="0.35">
      <c r="A889" s="16">
        <v>59.1</v>
      </c>
      <c r="B889" s="17" t="s">
        <v>22</v>
      </c>
      <c r="C889" s="18">
        <v>79.8</v>
      </c>
      <c r="E889" s="4">
        <f t="shared" si="13"/>
        <v>69.45</v>
      </c>
    </row>
    <row r="890" spans="1:5" x14ac:dyDescent="0.35">
      <c r="A890" s="13">
        <v>69.8</v>
      </c>
      <c r="B890" s="14" t="s">
        <v>20</v>
      </c>
      <c r="C890" s="15">
        <v>82.2</v>
      </c>
      <c r="E890" s="4">
        <f t="shared" si="13"/>
        <v>76</v>
      </c>
    </row>
    <row r="891" spans="1:5" x14ac:dyDescent="0.35">
      <c r="A891" s="16">
        <v>67</v>
      </c>
      <c r="B891" s="17" t="s">
        <v>22</v>
      </c>
      <c r="C891" s="18">
        <v>77.400000000000006</v>
      </c>
      <c r="E891" s="4">
        <f t="shared" si="13"/>
        <v>72.2</v>
      </c>
    </row>
    <row r="892" spans="1:5" x14ac:dyDescent="0.35">
      <c r="A892" s="13">
        <v>64.900000000000006</v>
      </c>
      <c r="B892" s="14" t="s">
        <v>16</v>
      </c>
      <c r="C892" s="15">
        <v>100</v>
      </c>
      <c r="E892" s="4">
        <f t="shared" si="13"/>
        <v>82.45</v>
      </c>
    </row>
    <row r="893" spans="1:5" x14ac:dyDescent="0.35">
      <c r="A893" s="16">
        <v>69.900000000000006</v>
      </c>
      <c r="B893" s="17" t="s">
        <v>20</v>
      </c>
      <c r="C893" s="18">
        <v>87.2</v>
      </c>
      <c r="E893" s="4">
        <f t="shared" si="13"/>
        <v>78.550000000000011</v>
      </c>
    </row>
    <row r="894" spans="1:5" x14ac:dyDescent="0.35">
      <c r="A894" s="13">
        <v>56.4</v>
      </c>
      <c r="B894" s="14" t="s">
        <v>22</v>
      </c>
      <c r="C894" s="15">
        <v>76.400000000000006</v>
      </c>
      <c r="E894" s="4">
        <f t="shared" si="13"/>
        <v>66.400000000000006</v>
      </c>
    </row>
    <row r="895" spans="1:5" x14ac:dyDescent="0.35">
      <c r="A895" s="16">
        <v>82.4</v>
      </c>
      <c r="B895" s="17" t="s">
        <v>22</v>
      </c>
      <c r="C895" s="18">
        <v>79.599999999999994</v>
      </c>
      <c r="E895" s="4">
        <f t="shared" si="13"/>
        <v>81</v>
      </c>
    </row>
    <row r="896" spans="1:5" x14ac:dyDescent="0.35">
      <c r="A896" s="13">
        <v>48.5</v>
      </c>
      <c r="B896" s="14" t="s">
        <v>22</v>
      </c>
      <c r="C896" s="15">
        <v>71.400000000000006</v>
      </c>
      <c r="E896" s="4">
        <f t="shared" si="13"/>
        <v>59.95</v>
      </c>
    </row>
    <row r="897" spans="1:5" x14ac:dyDescent="0.35">
      <c r="A897" s="16">
        <v>76.5</v>
      </c>
      <c r="B897" s="17" t="s">
        <v>20</v>
      </c>
      <c r="C897" s="18">
        <v>80.8</v>
      </c>
      <c r="E897" s="4">
        <f t="shared" si="13"/>
        <v>78.650000000000006</v>
      </c>
    </row>
    <row r="898" spans="1:5" x14ac:dyDescent="0.35">
      <c r="A898" s="13">
        <v>66.099999999999994</v>
      </c>
      <c r="B898" s="14" t="s">
        <v>16</v>
      </c>
      <c r="C898" s="15">
        <v>91.1</v>
      </c>
      <c r="E898" s="4">
        <f t="shared" si="13"/>
        <v>78.599999999999994</v>
      </c>
    </row>
    <row r="899" spans="1:5" x14ac:dyDescent="0.35">
      <c r="A899" s="16">
        <v>55.9</v>
      </c>
      <c r="B899" s="17" t="s">
        <v>22</v>
      </c>
      <c r="C899" s="18">
        <v>78.8</v>
      </c>
      <c r="E899" s="4">
        <f t="shared" ref="E899:E962" si="14">(A899+C899)/2</f>
        <v>67.349999999999994</v>
      </c>
    </row>
    <row r="900" spans="1:5" x14ac:dyDescent="0.35">
      <c r="A900" s="13">
        <v>72.400000000000006</v>
      </c>
      <c r="B900" s="14" t="s">
        <v>21</v>
      </c>
      <c r="C900" s="15">
        <v>66.7</v>
      </c>
      <c r="E900" s="4">
        <f t="shared" si="14"/>
        <v>69.550000000000011</v>
      </c>
    </row>
    <row r="901" spans="1:5" x14ac:dyDescent="0.35">
      <c r="A901" s="16">
        <v>51.3</v>
      </c>
      <c r="B901" s="17" t="s">
        <v>21</v>
      </c>
      <c r="C901" s="18">
        <v>68.8</v>
      </c>
      <c r="E901" s="4">
        <f t="shared" si="14"/>
        <v>60.05</v>
      </c>
    </row>
    <row r="902" spans="1:5" x14ac:dyDescent="0.35">
      <c r="A902" s="13">
        <v>70.5</v>
      </c>
      <c r="B902" s="14" t="s">
        <v>21</v>
      </c>
      <c r="C902" s="15">
        <v>69.900000000000006</v>
      </c>
      <c r="E902" s="4">
        <f t="shared" si="14"/>
        <v>70.2</v>
      </c>
    </row>
    <row r="903" spans="1:5" x14ac:dyDescent="0.35">
      <c r="A903" s="16">
        <v>52.9</v>
      </c>
      <c r="B903" s="17" t="s">
        <v>20</v>
      </c>
      <c r="C903" s="18">
        <v>80.7</v>
      </c>
      <c r="E903" s="4">
        <f t="shared" si="14"/>
        <v>66.8</v>
      </c>
    </row>
    <row r="904" spans="1:5" x14ac:dyDescent="0.35">
      <c r="A904" s="13">
        <v>75.5</v>
      </c>
      <c r="B904" s="14" t="s">
        <v>22</v>
      </c>
      <c r="C904" s="15">
        <v>73.3</v>
      </c>
      <c r="E904" s="4">
        <f t="shared" si="14"/>
        <v>74.400000000000006</v>
      </c>
    </row>
    <row r="905" spans="1:5" x14ac:dyDescent="0.35">
      <c r="A905" s="16">
        <v>58.9</v>
      </c>
      <c r="B905" s="17" t="s">
        <v>21</v>
      </c>
      <c r="C905" s="18">
        <v>68.8</v>
      </c>
      <c r="E905" s="4">
        <f t="shared" si="14"/>
        <v>63.849999999999994</v>
      </c>
    </row>
    <row r="906" spans="1:5" x14ac:dyDescent="0.35">
      <c r="A906" s="13">
        <v>64.599999999999994</v>
      </c>
      <c r="B906" s="14" t="s">
        <v>16</v>
      </c>
      <c r="C906" s="15">
        <v>90.8</v>
      </c>
      <c r="E906" s="4">
        <f t="shared" si="14"/>
        <v>77.699999999999989</v>
      </c>
    </row>
    <row r="907" spans="1:5" x14ac:dyDescent="0.35">
      <c r="A907" s="16">
        <v>73.5</v>
      </c>
      <c r="B907" s="17" t="s">
        <v>16</v>
      </c>
      <c r="C907" s="18">
        <v>100</v>
      </c>
      <c r="E907" s="4">
        <f t="shared" si="14"/>
        <v>86.75</v>
      </c>
    </row>
    <row r="908" spans="1:5" x14ac:dyDescent="0.35">
      <c r="A908" s="13">
        <v>60.7</v>
      </c>
      <c r="B908" s="14" t="s">
        <v>20</v>
      </c>
      <c r="C908" s="15">
        <v>85</v>
      </c>
      <c r="E908" s="4">
        <f t="shared" si="14"/>
        <v>72.849999999999994</v>
      </c>
    </row>
    <row r="909" spans="1:5" x14ac:dyDescent="0.35">
      <c r="A909" s="16">
        <v>69.3</v>
      </c>
      <c r="B909" s="17" t="s">
        <v>20</v>
      </c>
      <c r="C909" s="18">
        <v>86</v>
      </c>
      <c r="E909" s="4">
        <f t="shared" si="14"/>
        <v>77.650000000000006</v>
      </c>
    </row>
    <row r="910" spans="1:5" x14ac:dyDescent="0.35">
      <c r="A910" s="13">
        <v>51.8</v>
      </c>
      <c r="B910" s="14" t="s">
        <v>22</v>
      </c>
      <c r="C910" s="15">
        <v>73.099999999999994</v>
      </c>
      <c r="E910" s="4">
        <f t="shared" si="14"/>
        <v>62.449999999999996</v>
      </c>
    </row>
    <row r="911" spans="1:5" x14ac:dyDescent="0.35">
      <c r="A911" s="16">
        <v>77.599999999999994</v>
      </c>
      <c r="B911" s="17" t="s">
        <v>20</v>
      </c>
      <c r="C911" s="18">
        <v>87.6</v>
      </c>
      <c r="E911" s="4">
        <f t="shared" si="14"/>
        <v>82.6</v>
      </c>
    </row>
    <row r="912" spans="1:5" x14ac:dyDescent="0.35">
      <c r="A912" s="13">
        <v>91.2</v>
      </c>
      <c r="B912" s="14" t="s">
        <v>16</v>
      </c>
      <c r="C912" s="15">
        <v>96.5</v>
      </c>
      <c r="E912" s="4">
        <f t="shared" si="14"/>
        <v>93.85</v>
      </c>
    </row>
    <row r="913" spans="1:5" x14ac:dyDescent="0.35">
      <c r="A913" s="16">
        <v>100</v>
      </c>
      <c r="B913" s="17" t="s">
        <v>16</v>
      </c>
      <c r="C913" s="18">
        <v>100</v>
      </c>
      <c r="E913" s="4">
        <f t="shared" si="14"/>
        <v>100</v>
      </c>
    </row>
    <row r="914" spans="1:5" x14ac:dyDescent="0.35">
      <c r="A914" s="13">
        <v>71.099999999999994</v>
      </c>
      <c r="B914" s="14" t="s">
        <v>20</v>
      </c>
      <c r="C914" s="15">
        <v>82.1</v>
      </c>
      <c r="E914" s="4">
        <f t="shared" si="14"/>
        <v>76.599999999999994</v>
      </c>
    </row>
    <row r="915" spans="1:5" x14ac:dyDescent="0.35">
      <c r="A915" s="16">
        <v>79.5</v>
      </c>
      <c r="B915" s="17" t="s">
        <v>20</v>
      </c>
      <c r="C915" s="18">
        <v>80.3</v>
      </c>
      <c r="E915" s="4">
        <f t="shared" si="14"/>
        <v>79.900000000000006</v>
      </c>
    </row>
    <row r="916" spans="1:5" x14ac:dyDescent="0.35">
      <c r="A916" s="13">
        <v>48.6</v>
      </c>
      <c r="B916" s="14" t="s">
        <v>22</v>
      </c>
      <c r="C916" s="15">
        <v>76.900000000000006</v>
      </c>
      <c r="E916" s="4">
        <f t="shared" si="14"/>
        <v>62.75</v>
      </c>
    </row>
    <row r="917" spans="1:5" x14ac:dyDescent="0.35">
      <c r="A917" s="16">
        <v>88</v>
      </c>
      <c r="B917" s="17" t="s">
        <v>20</v>
      </c>
      <c r="C917" s="18">
        <v>81.7</v>
      </c>
      <c r="E917" s="4">
        <f t="shared" si="14"/>
        <v>84.85</v>
      </c>
    </row>
    <row r="918" spans="1:5" x14ac:dyDescent="0.35">
      <c r="A918" s="13">
        <v>79.3</v>
      </c>
      <c r="B918" s="14" t="s">
        <v>20</v>
      </c>
      <c r="C918" s="15">
        <v>88.1</v>
      </c>
      <c r="E918" s="4">
        <f t="shared" si="14"/>
        <v>83.699999999999989</v>
      </c>
    </row>
    <row r="919" spans="1:5" x14ac:dyDescent="0.35">
      <c r="A919" s="16">
        <v>64.2</v>
      </c>
      <c r="B919" s="17" t="s">
        <v>20</v>
      </c>
      <c r="C919" s="18">
        <v>88.1</v>
      </c>
      <c r="E919" s="4">
        <f t="shared" si="14"/>
        <v>76.150000000000006</v>
      </c>
    </row>
    <row r="920" spans="1:5" x14ac:dyDescent="0.35">
      <c r="A920" s="13">
        <v>84.8</v>
      </c>
      <c r="B920" s="14" t="s">
        <v>16</v>
      </c>
      <c r="C920" s="15">
        <v>97.3</v>
      </c>
      <c r="E920" s="4">
        <f t="shared" si="14"/>
        <v>91.05</v>
      </c>
    </row>
    <row r="921" spans="1:5" x14ac:dyDescent="0.35">
      <c r="A921" s="16">
        <v>66.900000000000006</v>
      </c>
      <c r="B921" s="17" t="s">
        <v>20</v>
      </c>
      <c r="C921" s="18">
        <v>83.4</v>
      </c>
      <c r="E921" s="4">
        <f t="shared" si="14"/>
        <v>75.150000000000006</v>
      </c>
    </row>
    <row r="922" spans="1:5" x14ac:dyDescent="0.35">
      <c r="A922" s="13">
        <v>64.5</v>
      </c>
      <c r="B922" s="14" t="s">
        <v>22</v>
      </c>
      <c r="C922" s="15">
        <v>72.8</v>
      </c>
      <c r="E922" s="4">
        <f t="shared" si="14"/>
        <v>68.650000000000006</v>
      </c>
    </row>
    <row r="923" spans="1:5" x14ac:dyDescent="0.35">
      <c r="A923" s="16">
        <v>75.7</v>
      </c>
      <c r="B923" s="17" t="s">
        <v>16</v>
      </c>
      <c r="C923" s="18">
        <v>90.5</v>
      </c>
      <c r="E923" s="4">
        <f t="shared" si="14"/>
        <v>83.1</v>
      </c>
    </row>
    <row r="924" spans="1:5" x14ac:dyDescent="0.35">
      <c r="A924" s="13">
        <v>57.2</v>
      </c>
      <c r="B924" s="14" t="s">
        <v>20</v>
      </c>
      <c r="C924" s="15">
        <v>83.8</v>
      </c>
      <c r="E924" s="4">
        <f t="shared" si="14"/>
        <v>70.5</v>
      </c>
    </row>
    <row r="925" spans="1:5" x14ac:dyDescent="0.35">
      <c r="A925" s="16">
        <v>82.3</v>
      </c>
      <c r="B925" s="17" t="s">
        <v>16</v>
      </c>
      <c r="C925" s="18">
        <v>93.1</v>
      </c>
      <c r="E925" s="4">
        <f t="shared" si="14"/>
        <v>87.699999999999989</v>
      </c>
    </row>
    <row r="926" spans="1:5" x14ac:dyDescent="0.35">
      <c r="A926" s="13">
        <v>57.3</v>
      </c>
      <c r="B926" s="14" t="s">
        <v>22</v>
      </c>
      <c r="C926" s="15">
        <v>71.2</v>
      </c>
      <c r="E926" s="4">
        <f t="shared" si="14"/>
        <v>64.25</v>
      </c>
    </row>
    <row r="927" spans="1:5" x14ac:dyDescent="0.35">
      <c r="A927" s="16">
        <v>57.4</v>
      </c>
      <c r="B927" s="17" t="s">
        <v>16</v>
      </c>
      <c r="C927" s="18">
        <v>95.3</v>
      </c>
      <c r="E927" s="4">
        <f t="shared" si="14"/>
        <v>76.349999999999994</v>
      </c>
    </row>
    <row r="928" spans="1:5" x14ac:dyDescent="0.35">
      <c r="A928" s="13">
        <v>59.1</v>
      </c>
      <c r="B928" s="14" t="s">
        <v>16</v>
      </c>
      <c r="C928" s="15">
        <v>99.6</v>
      </c>
      <c r="E928" s="4">
        <f t="shared" si="14"/>
        <v>79.349999999999994</v>
      </c>
    </row>
    <row r="929" spans="1:5" x14ac:dyDescent="0.35">
      <c r="A929" s="16">
        <v>79.099999999999994</v>
      </c>
      <c r="B929" s="17" t="s">
        <v>16</v>
      </c>
      <c r="C929" s="18">
        <v>92.4</v>
      </c>
      <c r="E929" s="4">
        <f t="shared" si="14"/>
        <v>85.75</v>
      </c>
    </row>
    <row r="930" spans="1:5" x14ac:dyDescent="0.35">
      <c r="A930" s="13">
        <v>62.6</v>
      </c>
      <c r="B930" s="14" t="s">
        <v>22</v>
      </c>
      <c r="C930" s="15">
        <v>75.400000000000006</v>
      </c>
      <c r="E930" s="4">
        <f t="shared" si="14"/>
        <v>69</v>
      </c>
    </row>
    <row r="931" spans="1:5" x14ac:dyDescent="0.35">
      <c r="A931" s="16">
        <v>53.8</v>
      </c>
      <c r="B931" s="17" t="s">
        <v>20</v>
      </c>
      <c r="C931" s="18">
        <v>80.8</v>
      </c>
      <c r="E931" s="4">
        <f t="shared" si="14"/>
        <v>67.3</v>
      </c>
    </row>
    <row r="932" spans="1:5" x14ac:dyDescent="0.35">
      <c r="A932" s="13">
        <v>62.7</v>
      </c>
      <c r="B932" s="14" t="s">
        <v>22</v>
      </c>
      <c r="C932" s="15">
        <v>72.900000000000006</v>
      </c>
      <c r="E932" s="4">
        <f t="shared" si="14"/>
        <v>67.800000000000011</v>
      </c>
    </row>
    <row r="933" spans="1:5" x14ac:dyDescent="0.35">
      <c r="A933" s="16">
        <v>69.599999999999994</v>
      </c>
      <c r="B933" s="17" t="s">
        <v>21</v>
      </c>
      <c r="C933" s="18">
        <v>63.7</v>
      </c>
      <c r="E933" s="4">
        <f t="shared" si="14"/>
        <v>66.650000000000006</v>
      </c>
    </row>
    <row r="934" spans="1:5" x14ac:dyDescent="0.35">
      <c r="A934" s="13">
        <v>55.8</v>
      </c>
      <c r="B934" s="14" t="s">
        <v>22</v>
      </c>
      <c r="C934" s="15">
        <v>75.3</v>
      </c>
      <c r="E934" s="4">
        <f t="shared" si="14"/>
        <v>65.55</v>
      </c>
    </row>
    <row r="935" spans="1:5" x14ac:dyDescent="0.35">
      <c r="A935" s="16">
        <v>56.2</v>
      </c>
      <c r="B935" s="17" t="s">
        <v>22</v>
      </c>
      <c r="C935" s="18">
        <v>71.7</v>
      </c>
      <c r="E935" s="4">
        <f t="shared" si="14"/>
        <v>63.95</v>
      </c>
    </row>
    <row r="936" spans="1:5" x14ac:dyDescent="0.35">
      <c r="A936" s="13">
        <v>95.3</v>
      </c>
      <c r="B936" s="14" t="s">
        <v>16</v>
      </c>
      <c r="C936" s="15">
        <v>100</v>
      </c>
      <c r="E936" s="4">
        <f t="shared" si="14"/>
        <v>97.65</v>
      </c>
    </row>
    <row r="937" spans="1:5" x14ac:dyDescent="0.35">
      <c r="A937" s="16">
        <v>59.7</v>
      </c>
      <c r="B937" s="17" t="s">
        <v>20</v>
      </c>
      <c r="C937" s="18">
        <v>83.3</v>
      </c>
      <c r="E937" s="4">
        <f t="shared" si="14"/>
        <v>71.5</v>
      </c>
    </row>
    <row r="938" spans="1:5" x14ac:dyDescent="0.35">
      <c r="A938" s="13">
        <v>66.099999999999994</v>
      </c>
      <c r="B938" s="14" t="s">
        <v>20</v>
      </c>
      <c r="C938" s="15">
        <v>85.6</v>
      </c>
      <c r="E938" s="4">
        <f t="shared" si="14"/>
        <v>75.849999999999994</v>
      </c>
    </row>
    <row r="939" spans="1:5" x14ac:dyDescent="0.35">
      <c r="A939" s="16">
        <v>65.599999999999994</v>
      </c>
      <c r="B939" s="17" t="s">
        <v>16</v>
      </c>
      <c r="C939" s="18">
        <v>93.1</v>
      </c>
      <c r="E939" s="4">
        <f t="shared" si="14"/>
        <v>79.349999999999994</v>
      </c>
    </row>
    <row r="940" spans="1:5" x14ac:dyDescent="0.35">
      <c r="A940" s="13">
        <v>64.900000000000006</v>
      </c>
      <c r="B940" s="14" t="s">
        <v>22</v>
      </c>
      <c r="C940" s="15">
        <v>77.3</v>
      </c>
      <c r="E940" s="4">
        <f t="shared" si="14"/>
        <v>71.099999999999994</v>
      </c>
    </row>
    <row r="941" spans="1:5" x14ac:dyDescent="0.35">
      <c r="A941" s="16">
        <v>77.5</v>
      </c>
      <c r="B941" s="17" t="s">
        <v>22</v>
      </c>
      <c r="C941" s="18">
        <v>74.8</v>
      </c>
      <c r="E941" s="4">
        <f t="shared" si="14"/>
        <v>76.150000000000006</v>
      </c>
    </row>
    <row r="942" spans="1:5" x14ac:dyDescent="0.35">
      <c r="A942" s="13">
        <v>81.400000000000006</v>
      </c>
      <c r="B942" s="14" t="s">
        <v>22</v>
      </c>
      <c r="C942" s="15">
        <v>76.7</v>
      </c>
      <c r="E942" s="4">
        <f t="shared" si="14"/>
        <v>79.050000000000011</v>
      </c>
    </row>
    <row r="943" spans="1:5" x14ac:dyDescent="0.35">
      <c r="A943" s="16">
        <v>66.3</v>
      </c>
      <c r="B943" s="17" t="s">
        <v>20</v>
      </c>
      <c r="C943" s="18">
        <v>85.3</v>
      </c>
      <c r="E943" s="4">
        <f t="shared" si="14"/>
        <v>75.8</v>
      </c>
    </row>
    <row r="944" spans="1:5" x14ac:dyDescent="0.35">
      <c r="A944" s="13">
        <v>55.2</v>
      </c>
      <c r="B944" s="14" t="s">
        <v>21</v>
      </c>
      <c r="C944" s="15">
        <v>68.599999999999994</v>
      </c>
      <c r="E944" s="4">
        <f t="shared" si="14"/>
        <v>61.9</v>
      </c>
    </row>
    <row r="945" spans="1:5" x14ac:dyDescent="0.35">
      <c r="A945" s="16">
        <v>85.3</v>
      </c>
      <c r="B945" s="17" t="s">
        <v>16</v>
      </c>
      <c r="C945" s="18">
        <v>96.4</v>
      </c>
      <c r="E945" s="4">
        <f t="shared" si="14"/>
        <v>90.85</v>
      </c>
    </row>
    <row r="946" spans="1:5" x14ac:dyDescent="0.35">
      <c r="A946" s="13">
        <v>68.900000000000006</v>
      </c>
      <c r="B946" s="14" t="s">
        <v>16</v>
      </c>
      <c r="C946" s="15">
        <v>95.7</v>
      </c>
      <c r="E946" s="4">
        <f t="shared" si="14"/>
        <v>82.300000000000011</v>
      </c>
    </row>
    <row r="947" spans="1:5" x14ac:dyDescent="0.35">
      <c r="A947" s="16">
        <v>90.8</v>
      </c>
      <c r="B947" s="17" t="s">
        <v>16</v>
      </c>
      <c r="C947" s="18">
        <v>96.1</v>
      </c>
      <c r="E947" s="4">
        <f t="shared" si="14"/>
        <v>93.449999999999989</v>
      </c>
    </row>
    <row r="948" spans="1:5" x14ac:dyDescent="0.35">
      <c r="A948" s="13">
        <v>43.1</v>
      </c>
      <c r="B948" s="14" t="s">
        <v>22</v>
      </c>
      <c r="C948" s="15">
        <v>70.400000000000006</v>
      </c>
      <c r="E948" s="4">
        <f t="shared" si="14"/>
        <v>56.75</v>
      </c>
    </row>
    <row r="949" spans="1:5" x14ac:dyDescent="0.35">
      <c r="A949" s="16">
        <v>72.3</v>
      </c>
      <c r="B949" s="17" t="s">
        <v>20</v>
      </c>
      <c r="C949" s="18">
        <v>85.8</v>
      </c>
      <c r="E949" s="4">
        <f t="shared" si="14"/>
        <v>79.05</v>
      </c>
    </row>
    <row r="950" spans="1:5" x14ac:dyDescent="0.35">
      <c r="A950" s="13">
        <v>93</v>
      </c>
      <c r="B950" s="14" t="s">
        <v>16</v>
      </c>
      <c r="C950" s="15">
        <v>100</v>
      </c>
      <c r="E950" s="4">
        <f t="shared" si="14"/>
        <v>96.5</v>
      </c>
    </row>
    <row r="951" spans="1:5" x14ac:dyDescent="0.35">
      <c r="A951" s="16">
        <v>65.8</v>
      </c>
      <c r="B951" s="17" t="s">
        <v>21</v>
      </c>
      <c r="C951" s="18">
        <v>65.8</v>
      </c>
      <c r="E951" s="4">
        <f t="shared" si="14"/>
        <v>65.8</v>
      </c>
    </row>
    <row r="952" spans="1:5" x14ac:dyDescent="0.35">
      <c r="A952" s="13">
        <v>67.3</v>
      </c>
      <c r="B952" s="14" t="s">
        <v>22</v>
      </c>
      <c r="C952" s="15">
        <v>72.400000000000006</v>
      </c>
      <c r="E952" s="4">
        <f t="shared" si="14"/>
        <v>69.849999999999994</v>
      </c>
    </row>
    <row r="953" spans="1:5" x14ac:dyDescent="0.35">
      <c r="A953" s="16">
        <v>73.5</v>
      </c>
      <c r="B953" s="17" t="s">
        <v>20</v>
      </c>
      <c r="C953" s="18">
        <v>83.6</v>
      </c>
      <c r="E953" s="4">
        <f t="shared" si="14"/>
        <v>78.55</v>
      </c>
    </row>
    <row r="954" spans="1:5" x14ac:dyDescent="0.35">
      <c r="A954" s="13">
        <v>63.3</v>
      </c>
      <c r="B954" s="14" t="s">
        <v>20</v>
      </c>
      <c r="C954" s="15">
        <v>89.5</v>
      </c>
      <c r="E954" s="4">
        <f t="shared" si="14"/>
        <v>76.400000000000006</v>
      </c>
    </row>
    <row r="955" spans="1:5" x14ac:dyDescent="0.35">
      <c r="A955" s="16">
        <v>66.3</v>
      </c>
      <c r="B955" s="17" t="s">
        <v>22</v>
      </c>
      <c r="C955" s="18">
        <v>77.900000000000006</v>
      </c>
      <c r="E955" s="4">
        <f t="shared" si="14"/>
        <v>72.099999999999994</v>
      </c>
    </row>
    <row r="956" spans="1:5" x14ac:dyDescent="0.35">
      <c r="A956" s="13">
        <v>65.900000000000006</v>
      </c>
      <c r="B956" s="14" t="s">
        <v>16</v>
      </c>
      <c r="C956" s="15">
        <v>100</v>
      </c>
      <c r="E956" s="4">
        <f t="shared" si="14"/>
        <v>82.95</v>
      </c>
    </row>
    <row r="957" spans="1:5" x14ac:dyDescent="0.35">
      <c r="A957" s="16">
        <v>62.5</v>
      </c>
      <c r="B957" s="17" t="s">
        <v>20</v>
      </c>
      <c r="C957" s="18">
        <v>88.3</v>
      </c>
      <c r="E957" s="4">
        <f t="shared" si="14"/>
        <v>75.400000000000006</v>
      </c>
    </row>
    <row r="958" spans="1:5" x14ac:dyDescent="0.35">
      <c r="A958" s="13">
        <v>84.7</v>
      </c>
      <c r="B958" s="14" t="s">
        <v>16</v>
      </c>
      <c r="C958" s="15">
        <v>93.5</v>
      </c>
      <c r="E958" s="4">
        <f t="shared" si="14"/>
        <v>89.1</v>
      </c>
    </row>
    <row r="959" spans="1:5" x14ac:dyDescent="0.35">
      <c r="A959" s="16">
        <v>75.5</v>
      </c>
      <c r="B959" s="17" t="s">
        <v>20</v>
      </c>
      <c r="C959" s="18">
        <v>89</v>
      </c>
      <c r="E959" s="4">
        <f t="shared" si="14"/>
        <v>82.25</v>
      </c>
    </row>
    <row r="960" spans="1:5" x14ac:dyDescent="0.35">
      <c r="A960" s="13">
        <v>73</v>
      </c>
      <c r="B960" s="14" t="s">
        <v>20</v>
      </c>
      <c r="C960" s="15">
        <v>87.6</v>
      </c>
      <c r="E960" s="4">
        <f t="shared" si="14"/>
        <v>80.3</v>
      </c>
    </row>
    <row r="961" spans="1:5" x14ac:dyDescent="0.35">
      <c r="A961" s="16">
        <v>79.7</v>
      </c>
      <c r="B961" s="17" t="s">
        <v>20</v>
      </c>
      <c r="C961" s="18">
        <v>80.5</v>
      </c>
      <c r="E961" s="4">
        <f t="shared" si="14"/>
        <v>80.099999999999994</v>
      </c>
    </row>
    <row r="962" spans="1:5" x14ac:dyDescent="0.35">
      <c r="A962" s="13">
        <v>66.8</v>
      </c>
      <c r="B962" s="14" t="s">
        <v>22</v>
      </c>
      <c r="C962" s="15">
        <v>75.400000000000006</v>
      </c>
      <c r="E962" s="4">
        <f t="shared" si="14"/>
        <v>71.099999999999994</v>
      </c>
    </row>
    <row r="963" spans="1:5" x14ac:dyDescent="0.35">
      <c r="A963" s="16">
        <v>60.7</v>
      </c>
      <c r="B963" s="17" t="s">
        <v>20</v>
      </c>
      <c r="C963" s="18">
        <v>80.7</v>
      </c>
      <c r="E963" s="4">
        <f t="shared" ref="E963:E1001" si="15">(A963+C963)/2</f>
        <v>70.7</v>
      </c>
    </row>
    <row r="964" spans="1:5" x14ac:dyDescent="0.35">
      <c r="A964" s="13">
        <v>62.8</v>
      </c>
      <c r="B964" s="14" t="s">
        <v>22</v>
      </c>
      <c r="C964" s="15">
        <v>73</v>
      </c>
      <c r="E964" s="4">
        <f t="shared" si="15"/>
        <v>67.900000000000006</v>
      </c>
    </row>
    <row r="965" spans="1:5" x14ac:dyDescent="0.35">
      <c r="A965" s="16">
        <v>70</v>
      </c>
      <c r="B965" s="17" t="s">
        <v>22</v>
      </c>
      <c r="C965" s="18">
        <v>78.400000000000006</v>
      </c>
      <c r="E965" s="4">
        <f t="shared" si="15"/>
        <v>74.2</v>
      </c>
    </row>
    <row r="966" spans="1:5" x14ac:dyDescent="0.35">
      <c r="A966" s="13">
        <v>57.3</v>
      </c>
      <c r="B966" s="14" t="s">
        <v>21</v>
      </c>
      <c r="C966" s="15">
        <v>69.5</v>
      </c>
      <c r="E966" s="4">
        <f t="shared" si="15"/>
        <v>63.4</v>
      </c>
    </row>
    <row r="967" spans="1:5" x14ac:dyDescent="0.35">
      <c r="A967" s="16">
        <v>64</v>
      </c>
      <c r="B967" s="17" t="s">
        <v>22</v>
      </c>
      <c r="C967" s="18">
        <v>76.2</v>
      </c>
      <c r="E967" s="4">
        <f t="shared" si="15"/>
        <v>70.099999999999994</v>
      </c>
    </row>
    <row r="968" spans="1:5" x14ac:dyDescent="0.35">
      <c r="A968" s="13">
        <v>63.8</v>
      </c>
      <c r="B968" s="14" t="s">
        <v>16</v>
      </c>
      <c r="C968" s="15">
        <v>90</v>
      </c>
      <c r="E968" s="4">
        <f t="shared" si="15"/>
        <v>76.900000000000006</v>
      </c>
    </row>
    <row r="969" spans="1:5" x14ac:dyDescent="0.35">
      <c r="A969" s="16">
        <v>95.5</v>
      </c>
      <c r="B969" s="17" t="s">
        <v>16</v>
      </c>
      <c r="C969" s="18">
        <v>100</v>
      </c>
      <c r="E969" s="4">
        <f t="shared" si="15"/>
        <v>97.75</v>
      </c>
    </row>
    <row r="970" spans="1:5" x14ac:dyDescent="0.35">
      <c r="A970" s="13">
        <v>36.700000000000003</v>
      </c>
      <c r="B970" s="14" t="s">
        <v>21</v>
      </c>
      <c r="C970" s="15">
        <v>60</v>
      </c>
      <c r="E970" s="4">
        <f t="shared" si="15"/>
        <v>48.35</v>
      </c>
    </row>
    <row r="971" spans="1:5" x14ac:dyDescent="0.35">
      <c r="A971" s="16">
        <v>67.8</v>
      </c>
      <c r="B971" s="17" t="s">
        <v>22</v>
      </c>
      <c r="C971" s="18">
        <v>78.3</v>
      </c>
      <c r="E971" s="4">
        <f t="shared" si="15"/>
        <v>73.05</v>
      </c>
    </row>
    <row r="972" spans="1:5" x14ac:dyDescent="0.35">
      <c r="A972" s="13">
        <v>90.7</v>
      </c>
      <c r="B972" s="14" t="s">
        <v>16</v>
      </c>
      <c r="C972" s="15">
        <v>100</v>
      </c>
      <c r="E972" s="4">
        <f t="shared" si="15"/>
        <v>95.35</v>
      </c>
    </row>
    <row r="973" spans="1:5" x14ac:dyDescent="0.35">
      <c r="A973" s="16">
        <v>71.5</v>
      </c>
      <c r="B973" s="17" t="s">
        <v>22</v>
      </c>
      <c r="C973" s="18">
        <v>75.599999999999994</v>
      </c>
      <c r="E973" s="4">
        <f t="shared" si="15"/>
        <v>73.55</v>
      </c>
    </row>
    <row r="974" spans="1:5" x14ac:dyDescent="0.35">
      <c r="A974" s="13">
        <v>79</v>
      </c>
      <c r="B974" s="14" t="s">
        <v>20</v>
      </c>
      <c r="C974" s="15">
        <v>84.1</v>
      </c>
      <c r="E974" s="4">
        <f t="shared" si="15"/>
        <v>81.55</v>
      </c>
    </row>
    <row r="975" spans="1:5" x14ac:dyDescent="0.35">
      <c r="A975" s="16">
        <v>71.2</v>
      </c>
      <c r="B975" s="17" t="s">
        <v>22</v>
      </c>
      <c r="C975" s="18">
        <v>77.900000000000006</v>
      </c>
      <c r="E975" s="4">
        <f t="shared" si="15"/>
        <v>74.550000000000011</v>
      </c>
    </row>
    <row r="976" spans="1:5" x14ac:dyDescent="0.35">
      <c r="A976" s="13">
        <v>62</v>
      </c>
      <c r="B976" s="14" t="s">
        <v>21</v>
      </c>
      <c r="C976" s="15">
        <v>67.900000000000006</v>
      </c>
      <c r="E976" s="4">
        <f t="shared" si="15"/>
        <v>64.95</v>
      </c>
    </row>
    <row r="977" spans="1:5" x14ac:dyDescent="0.35">
      <c r="A977" s="16">
        <v>43.1</v>
      </c>
      <c r="B977" s="17" t="s">
        <v>21</v>
      </c>
      <c r="C977" s="18">
        <v>67</v>
      </c>
      <c r="E977" s="4">
        <f t="shared" si="15"/>
        <v>55.05</v>
      </c>
    </row>
    <row r="978" spans="1:5" x14ac:dyDescent="0.35">
      <c r="A978" s="13">
        <v>72.5</v>
      </c>
      <c r="B978" s="14" t="s">
        <v>20</v>
      </c>
      <c r="C978" s="15">
        <v>80.900000000000006</v>
      </c>
      <c r="E978" s="4">
        <f t="shared" si="15"/>
        <v>76.7</v>
      </c>
    </row>
    <row r="979" spans="1:5" x14ac:dyDescent="0.35">
      <c r="A979" s="16">
        <v>60.7</v>
      </c>
      <c r="B979" s="17" t="s">
        <v>22</v>
      </c>
      <c r="C979" s="18">
        <v>72.099999999999994</v>
      </c>
      <c r="E979" s="4">
        <f t="shared" si="15"/>
        <v>66.400000000000006</v>
      </c>
    </row>
    <row r="980" spans="1:5" x14ac:dyDescent="0.35">
      <c r="A980" s="13">
        <v>60.4</v>
      </c>
      <c r="B980" s="14" t="s">
        <v>20</v>
      </c>
      <c r="C980" s="15">
        <v>83</v>
      </c>
      <c r="E980" s="4">
        <f t="shared" si="15"/>
        <v>71.7</v>
      </c>
    </row>
    <row r="981" spans="1:5" x14ac:dyDescent="0.35">
      <c r="A981" s="16">
        <v>64</v>
      </c>
      <c r="B981" s="17" t="s">
        <v>16</v>
      </c>
      <c r="C981" s="18">
        <v>93.9</v>
      </c>
      <c r="E981" s="4">
        <f t="shared" si="15"/>
        <v>78.95</v>
      </c>
    </row>
    <row r="982" spans="1:5" x14ac:dyDescent="0.35">
      <c r="A982" s="13">
        <v>90.9</v>
      </c>
      <c r="B982" s="14" t="s">
        <v>16</v>
      </c>
      <c r="C982" s="15">
        <v>91.4</v>
      </c>
      <c r="E982" s="4">
        <f t="shared" si="15"/>
        <v>91.15</v>
      </c>
    </row>
    <row r="983" spans="1:5" x14ac:dyDescent="0.35">
      <c r="A983" s="16">
        <v>98.9</v>
      </c>
      <c r="B983" s="17" t="s">
        <v>22</v>
      </c>
      <c r="C983" s="18">
        <v>79.7</v>
      </c>
      <c r="E983" s="4">
        <f t="shared" si="15"/>
        <v>89.300000000000011</v>
      </c>
    </row>
    <row r="984" spans="1:5" x14ac:dyDescent="0.35">
      <c r="A984" s="13">
        <v>72.599999999999994</v>
      </c>
      <c r="B984" s="14" t="s">
        <v>22</v>
      </c>
      <c r="C984" s="15">
        <v>77.7</v>
      </c>
      <c r="E984" s="4">
        <f t="shared" si="15"/>
        <v>75.150000000000006</v>
      </c>
    </row>
    <row r="985" spans="1:5" x14ac:dyDescent="0.35">
      <c r="A985" s="16">
        <v>64.400000000000006</v>
      </c>
      <c r="B985" s="17" t="s">
        <v>20</v>
      </c>
      <c r="C985" s="18">
        <v>85</v>
      </c>
      <c r="E985" s="4">
        <f t="shared" si="15"/>
        <v>74.7</v>
      </c>
    </row>
    <row r="986" spans="1:5" x14ac:dyDescent="0.35">
      <c r="A986" s="13">
        <v>55.9</v>
      </c>
      <c r="B986" s="14" t="s">
        <v>22</v>
      </c>
      <c r="C986" s="15">
        <v>75.400000000000006</v>
      </c>
      <c r="E986" s="4">
        <f t="shared" si="15"/>
        <v>65.650000000000006</v>
      </c>
    </row>
    <row r="987" spans="1:5" x14ac:dyDescent="0.35">
      <c r="A987" s="16">
        <v>75.599999999999994</v>
      </c>
      <c r="B987" s="17" t="s">
        <v>16</v>
      </c>
      <c r="C987" s="18">
        <v>96.4</v>
      </c>
      <c r="E987" s="4">
        <f t="shared" si="15"/>
        <v>86</v>
      </c>
    </row>
    <row r="988" spans="1:5" x14ac:dyDescent="0.35">
      <c r="A988" s="13">
        <v>91.4</v>
      </c>
      <c r="B988" s="14" t="s">
        <v>20</v>
      </c>
      <c r="C988" s="15">
        <v>81.8</v>
      </c>
      <c r="E988" s="4">
        <f t="shared" si="15"/>
        <v>86.6</v>
      </c>
    </row>
    <row r="989" spans="1:5" x14ac:dyDescent="0.35">
      <c r="A989" s="16">
        <v>67</v>
      </c>
      <c r="B989" s="17" t="s">
        <v>20</v>
      </c>
      <c r="C989" s="18">
        <v>85.8</v>
      </c>
      <c r="E989" s="4">
        <f t="shared" si="15"/>
        <v>76.400000000000006</v>
      </c>
    </row>
    <row r="990" spans="1:5" x14ac:dyDescent="0.35">
      <c r="A990" s="13">
        <v>41.5</v>
      </c>
      <c r="B990" s="14" t="s">
        <v>20</v>
      </c>
      <c r="C990" s="15">
        <v>80.900000000000006</v>
      </c>
      <c r="E990" s="4">
        <f t="shared" si="15"/>
        <v>61.2</v>
      </c>
    </row>
    <row r="991" spans="1:5" x14ac:dyDescent="0.35">
      <c r="A991" s="16">
        <v>78</v>
      </c>
      <c r="B991" s="17" t="s">
        <v>16</v>
      </c>
      <c r="C991" s="18">
        <v>93.9</v>
      </c>
      <c r="E991" s="4">
        <f t="shared" si="15"/>
        <v>85.95</v>
      </c>
    </row>
    <row r="992" spans="1:5" x14ac:dyDescent="0.35">
      <c r="A992" s="13">
        <v>81.8</v>
      </c>
      <c r="B992" s="14" t="s">
        <v>20</v>
      </c>
      <c r="C992" s="15">
        <v>81.900000000000006</v>
      </c>
      <c r="E992" s="4">
        <f t="shared" si="15"/>
        <v>81.849999999999994</v>
      </c>
    </row>
    <row r="993" spans="1:5" x14ac:dyDescent="0.35">
      <c r="A993" s="16">
        <v>51</v>
      </c>
      <c r="B993" s="17" t="s">
        <v>20</v>
      </c>
      <c r="C993" s="18">
        <v>80.400000000000006</v>
      </c>
      <c r="E993" s="4">
        <f t="shared" si="15"/>
        <v>65.7</v>
      </c>
    </row>
    <row r="994" spans="1:5" x14ac:dyDescent="0.35">
      <c r="A994" s="13">
        <v>72.099999999999994</v>
      </c>
      <c r="B994" s="14" t="s">
        <v>22</v>
      </c>
      <c r="C994" s="15">
        <v>78.8</v>
      </c>
      <c r="E994" s="4">
        <f t="shared" si="15"/>
        <v>75.449999999999989</v>
      </c>
    </row>
    <row r="995" spans="1:5" x14ac:dyDescent="0.35">
      <c r="A995" s="16">
        <v>75.400000000000006</v>
      </c>
      <c r="B995" s="17" t="s">
        <v>16</v>
      </c>
      <c r="C995" s="18">
        <v>92.7</v>
      </c>
      <c r="E995" s="4">
        <f t="shared" si="15"/>
        <v>84.050000000000011</v>
      </c>
    </row>
    <row r="996" spans="1:5" x14ac:dyDescent="0.35">
      <c r="A996" s="13">
        <v>69.099999999999994</v>
      </c>
      <c r="B996" s="14" t="s">
        <v>22</v>
      </c>
      <c r="C996" s="15">
        <v>79.099999999999994</v>
      </c>
      <c r="E996" s="4">
        <f t="shared" si="15"/>
        <v>74.099999999999994</v>
      </c>
    </row>
    <row r="997" spans="1:5" x14ac:dyDescent="0.35">
      <c r="A997" s="16">
        <v>60.5</v>
      </c>
      <c r="B997" s="17" t="s">
        <v>22</v>
      </c>
      <c r="C997" s="18">
        <v>70.7</v>
      </c>
      <c r="E997" s="4">
        <f t="shared" si="15"/>
        <v>65.599999999999994</v>
      </c>
    </row>
    <row r="998" spans="1:5" x14ac:dyDescent="0.35">
      <c r="A998" s="13">
        <v>82.2</v>
      </c>
      <c r="B998" s="14" t="s">
        <v>16</v>
      </c>
      <c r="C998" s="15">
        <v>99.5</v>
      </c>
      <c r="E998" s="4">
        <f t="shared" si="15"/>
        <v>90.85</v>
      </c>
    </row>
    <row r="999" spans="1:5" x14ac:dyDescent="0.35">
      <c r="A999" s="16">
        <v>65.2</v>
      </c>
      <c r="B999" s="17" t="s">
        <v>22</v>
      </c>
      <c r="C999" s="18">
        <v>79.2</v>
      </c>
      <c r="E999" s="4">
        <f t="shared" si="15"/>
        <v>72.2</v>
      </c>
    </row>
    <row r="1000" spans="1:5" x14ac:dyDescent="0.35">
      <c r="A1000" s="13">
        <v>52.2</v>
      </c>
      <c r="B1000" s="14" t="s">
        <v>20</v>
      </c>
      <c r="C1000" s="15">
        <v>82.2</v>
      </c>
      <c r="E1000" s="4">
        <f t="shared" si="15"/>
        <v>67.2</v>
      </c>
    </row>
    <row r="1001" spans="1:5" x14ac:dyDescent="0.35">
      <c r="A1001" s="16">
        <v>45.4</v>
      </c>
      <c r="B1001" s="17" t="s">
        <v>22</v>
      </c>
      <c r="C1001" s="18">
        <v>70.400000000000006</v>
      </c>
      <c r="E1001" s="4">
        <f t="shared" si="15"/>
        <v>57.900000000000006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1D54-E0FC-4FE7-82F2-FBDCB5500A9E}">
  <dimension ref="A3:K16"/>
  <sheetViews>
    <sheetView topLeftCell="A3" workbookViewId="0">
      <selection activeCell="B20" sqref="B20"/>
    </sheetView>
  </sheetViews>
  <sheetFormatPr defaultRowHeight="14.5" x14ac:dyDescent="0.35"/>
  <cols>
    <col min="1" max="1" width="12.453125" bestFit="1" customWidth="1"/>
    <col min="2" max="2" width="17.36328125" bestFit="1" customWidth="1"/>
    <col min="3" max="3" width="19.6328125" customWidth="1"/>
    <col min="4" max="4" width="8.90625" customWidth="1"/>
    <col min="6" max="6" width="8.90625" bestFit="1" customWidth="1"/>
  </cols>
  <sheetData>
    <row r="3" spans="1:11" x14ac:dyDescent="0.35">
      <c r="A3" t="s">
        <v>26</v>
      </c>
      <c r="B3" t="s">
        <v>27</v>
      </c>
      <c r="C3" t="s">
        <v>33</v>
      </c>
    </row>
    <row r="4" spans="1:11" x14ac:dyDescent="0.35">
      <c r="A4" s="3" t="s">
        <v>15</v>
      </c>
      <c r="B4">
        <v>146</v>
      </c>
    </row>
    <row r="5" spans="1:11" x14ac:dyDescent="0.35">
      <c r="A5" s="5" t="s">
        <v>16</v>
      </c>
      <c r="B5">
        <v>28</v>
      </c>
      <c r="C5" s="6">
        <f>B5/B4</f>
        <v>0.19178082191780821</v>
      </c>
      <c r="D5" s="6"/>
      <c r="E5" s="6"/>
    </row>
    <row r="6" spans="1:11" x14ac:dyDescent="0.35">
      <c r="A6" s="5" t="s">
        <v>20</v>
      </c>
      <c r="B6">
        <v>35</v>
      </c>
      <c r="C6" s="6">
        <f>B6/B4</f>
        <v>0.23972602739726026</v>
      </c>
      <c r="D6" s="6"/>
      <c r="E6" s="7"/>
      <c r="F6" s="8">
        <f>C5+C6</f>
        <v>0.43150684931506844</v>
      </c>
      <c r="G6" s="4" t="s">
        <v>34</v>
      </c>
      <c r="H6" s="4"/>
      <c r="I6" s="4"/>
      <c r="J6" s="4"/>
      <c r="K6" s="4"/>
    </row>
    <row r="7" spans="1:11" x14ac:dyDescent="0.35">
      <c r="A7" s="5" t="s">
        <v>22</v>
      </c>
      <c r="B7">
        <v>57</v>
      </c>
      <c r="C7" s="6">
        <f>B7/B4</f>
        <v>0.3904109589041096</v>
      </c>
      <c r="D7" s="6"/>
      <c r="E7" s="9" t="s">
        <v>35</v>
      </c>
      <c r="F7" s="7">
        <f>C11+C12</f>
        <v>0.67330210772833721</v>
      </c>
      <c r="G7" s="4" t="s">
        <v>36</v>
      </c>
      <c r="H7" s="4"/>
      <c r="I7" s="4"/>
      <c r="J7" s="4"/>
      <c r="K7" s="4"/>
    </row>
    <row r="8" spans="1:11" x14ac:dyDescent="0.35">
      <c r="A8" s="5" t="s">
        <v>21</v>
      </c>
      <c r="B8">
        <v>20</v>
      </c>
      <c r="C8" s="6">
        <f>B8/B4</f>
        <v>0.13698630136986301</v>
      </c>
      <c r="D8" s="6"/>
      <c r="E8" s="6"/>
    </row>
    <row r="9" spans="1:11" x14ac:dyDescent="0.35">
      <c r="A9" s="5" t="s">
        <v>25</v>
      </c>
      <c r="B9">
        <v>6</v>
      </c>
      <c r="C9" s="6">
        <f>B9/B4</f>
        <v>4.1095890410958902E-2</v>
      </c>
      <c r="D9" s="6"/>
      <c r="E9" s="6"/>
    </row>
    <row r="10" spans="1:11" x14ac:dyDescent="0.35">
      <c r="A10" s="3" t="s">
        <v>14</v>
      </c>
      <c r="B10">
        <v>854</v>
      </c>
      <c r="E10" s="6"/>
    </row>
    <row r="11" spans="1:11" x14ac:dyDescent="0.35">
      <c r="A11" s="5" t="s">
        <v>16</v>
      </c>
      <c r="B11">
        <v>256</v>
      </c>
      <c r="C11" s="6">
        <f>B11/B10</f>
        <v>0.29976580796252927</v>
      </c>
      <c r="D11" s="6"/>
      <c r="E11" s="6"/>
      <c r="F11" s="4" t="s">
        <v>37</v>
      </c>
      <c r="G11" s="4"/>
      <c r="H11" s="4"/>
      <c r="I11" s="4"/>
      <c r="J11" s="4"/>
    </row>
    <row r="12" spans="1:11" x14ac:dyDescent="0.35">
      <c r="A12" s="5" t="s">
        <v>20</v>
      </c>
      <c r="B12">
        <v>319</v>
      </c>
      <c r="C12" s="6">
        <f>B12/B10</f>
        <v>0.37353629976580799</v>
      </c>
      <c r="D12" s="6"/>
      <c r="E12" s="6"/>
    </row>
    <row r="13" spans="1:11" x14ac:dyDescent="0.35">
      <c r="A13" s="5" t="s">
        <v>22</v>
      </c>
      <c r="B13">
        <v>204</v>
      </c>
      <c r="C13" s="6">
        <f>B13/B10</f>
        <v>0.2388758782201405</v>
      </c>
      <c r="D13" s="6"/>
      <c r="E13" s="6"/>
    </row>
    <row r="14" spans="1:11" x14ac:dyDescent="0.35">
      <c r="A14" s="5" t="s">
        <v>21</v>
      </c>
      <c r="B14">
        <v>69</v>
      </c>
      <c r="C14" s="6">
        <f>B14/B10</f>
        <v>8.0796252927400475E-2</v>
      </c>
      <c r="D14" s="6"/>
      <c r="E14" s="6"/>
    </row>
    <row r="15" spans="1:11" x14ac:dyDescent="0.35">
      <c r="A15" s="5" t="s">
        <v>25</v>
      </c>
      <c r="B15">
        <v>6</v>
      </c>
      <c r="C15" s="6">
        <f>B15/B10</f>
        <v>7.0257611241217799E-3</v>
      </c>
      <c r="D15" s="6"/>
      <c r="E15" s="6"/>
    </row>
    <row r="16" spans="1:11" x14ac:dyDescent="0.35">
      <c r="A16" s="3" t="s">
        <v>31</v>
      </c>
      <c r="B16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6AFF-86C7-4CE9-8034-BC4C6DB92BB6}">
  <dimension ref="A3:K6"/>
  <sheetViews>
    <sheetView workbookViewId="0">
      <selection activeCell="D16" sqref="D16"/>
    </sheetView>
  </sheetViews>
  <sheetFormatPr defaultRowHeight="14.5" x14ac:dyDescent="0.35"/>
  <cols>
    <col min="1" max="1" width="12.453125" bestFit="1" customWidth="1"/>
    <col min="2" max="2" width="20" bestFit="1" customWidth="1"/>
  </cols>
  <sheetData>
    <row r="3" spans="1:11" x14ac:dyDescent="0.35">
      <c r="A3" t="s">
        <v>26</v>
      </c>
      <c r="B3" t="s">
        <v>38</v>
      </c>
      <c r="E3" s="4" t="s">
        <v>39</v>
      </c>
      <c r="F3" s="4"/>
      <c r="G3" s="4"/>
      <c r="H3" s="4"/>
      <c r="I3" s="4"/>
      <c r="J3" s="4"/>
      <c r="K3" s="4"/>
    </row>
    <row r="4" spans="1:11" x14ac:dyDescent="0.35">
      <c r="A4" s="3" t="s">
        <v>15</v>
      </c>
      <c r="B4">
        <v>6.7916666666666696</v>
      </c>
      <c r="E4" s="4" t="s">
        <v>40</v>
      </c>
      <c r="F4" s="4"/>
      <c r="G4" s="4"/>
      <c r="H4" s="4"/>
      <c r="I4" s="4"/>
      <c r="J4" s="4"/>
      <c r="K4" s="4"/>
    </row>
    <row r="5" spans="1:11" x14ac:dyDescent="0.35">
      <c r="A5" s="3" t="s">
        <v>14</v>
      </c>
      <c r="B5">
        <v>6.8164556962025342</v>
      </c>
    </row>
    <row r="6" spans="1:11" x14ac:dyDescent="0.35">
      <c r="A6" s="3" t="s">
        <v>31</v>
      </c>
      <c r="B6">
        <v>6.7995000000000001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362E-60F8-4C2D-A876-075B4DF8F62B}">
  <dimension ref="A3:F9"/>
  <sheetViews>
    <sheetView zoomScaleNormal="100" workbookViewId="0">
      <selection activeCell="A9" sqref="A9"/>
    </sheetView>
  </sheetViews>
  <sheetFormatPr defaultRowHeight="14.5" x14ac:dyDescent="0.35"/>
  <cols>
    <col min="1" max="1" width="12.453125" bestFit="1" customWidth="1"/>
    <col min="2" max="2" width="17.36328125" bestFit="1" customWidth="1"/>
    <col min="3" max="3" width="22.08984375" bestFit="1" customWidth="1"/>
    <col min="4" max="5" width="16.81640625" customWidth="1"/>
    <col min="6" max="6" width="18.54296875" customWidth="1"/>
  </cols>
  <sheetData>
    <row r="3" spans="1:6" x14ac:dyDescent="0.35">
      <c r="A3" t="s">
        <v>26</v>
      </c>
      <c r="B3" t="s">
        <v>27</v>
      </c>
      <c r="C3" t="s">
        <v>28</v>
      </c>
      <c r="D3" t="s">
        <v>29</v>
      </c>
      <c r="F3" t="s">
        <v>30</v>
      </c>
    </row>
    <row r="4" spans="1:6" x14ac:dyDescent="0.35">
      <c r="A4" s="3" t="s">
        <v>17</v>
      </c>
      <c r="B4">
        <v>510</v>
      </c>
      <c r="C4">
        <v>1816.7</v>
      </c>
      <c r="D4">
        <v>3472.2</v>
      </c>
      <c r="F4">
        <f>C4/B4</f>
        <v>3.5621568627450979</v>
      </c>
    </row>
    <row r="5" spans="1:6" x14ac:dyDescent="0.35">
      <c r="A5" s="3" t="s">
        <v>12</v>
      </c>
      <c r="B5">
        <v>490</v>
      </c>
      <c r="C5">
        <v>1754</v>
      </c>
      <c r="D5">
        <v>3327.3</v>
      </c>
      <c r="F5">
        <f>C5/B5</f>
        <v>3.5795918367346937</v>
      </c>
    </row>
    <row r="6" spans="1:6" x14ac:dyDescent="0.35">
      <c r="A6" s="3" t="s">
        <v>31</v>
      </c>
      <c r="B6">
        <v>1000</v>
      </c>
      <c r="C6">
        <v>3570.7</v>
      </c>
      <c r="D6">
        <v>6799.5</v>
      </c>
    </row>
    <row r="9" spans="1:6" x14ac:dyDescent="0.35">
      <c r="A9" s="4" t="s">
        <v>32</v>
      </c>
      <c r="B9" s="4"/>
      <c r="C9" s="4"/>
      <c r="D9" s="4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CE4F-4787-4746-B510-AB2B24C9CD9A}">
  <dimension ref="A3:C13"/>
  <sheetViews>
    <sheetView workbookViewId="0">
      <selection activeCell="C18" sqref="C18"/>
    </sheetView>
  </sheetViews>
  <sheetFormatPr defaultRowHeight="14.5" x14ac:dyDescent="0.35"/>
  <cols>
    <col min="1" max="1" width="12.453125" bestFit="1" customWidth="1"/>
    <col min="2" max="2" width="17.36328125" bestFit="1" customWidth="1"/>
    <col min="3" max="3" width="20" bestFit="1" customWidth="1"/>
  </cols>
  <sheetData>
    <row r="3" spans="1:3" x14ac:dyDescent="0.35">
      <c r="A3" s="21" t="s">
        <v>26</v>
      </c>
      <c r="B3" t="s">
        <v>27</v>
      </c>
      <c r="C3" t="s">
        <v>38</v>
      </c>
    </row>
    <row r="4" spans="1:3" x14ac:dyDescent="0.35">
      <c r="A4" s="3" t="s">
        <v>16</v>
      </c>
      <c r="B4" s="20">
        <v>284</v>
      </c>
      <c r="C4" s="20">
        <v>7.0176056338028205</v>
      </c>
    </row>
    <row r="5" spans="1:3" x14ac:dyDescent="0.35">
      <c r="A5" s="3" t="s">
        <v>20</v>
      </c>
      <c r="B5" s="20">
        <v>354</v>
      </c>
      <c r="C5" s="20">
        <v>6.8042372881355915</v>
      </c>
    </row>
    <row r="6" spans="1:3" x14ac:dyDescent="0.35">
      <c r="A6" s="3" t="s">
        <v>22</v>
      </c>
      <c r="B6" s="20">
        <v>261</v>
      </c>
      <c r="C6" s="20">
        <v>6.6908045977011525</v>
      </c>
    </row>
    <row r="7" spans="1:3" x14ac:dyDescent="0.35">
      <c r="A7" s="3" t="s">
        <v>21</v>
      </c>
      <c r="B7" s="20">
        <v>89</v>
      </c>
      <c r="C7" s="20">
        <v>6.4494382022471912</v>
      </c>
    </row>
    <row r="8" spans="1:3" x14ac:dyDescent="0.35">
      <c r="A8" s="3" t="s">
        <v>25</v>
      </c>
      <c r="B8" s="20">
        <v>12</v>
      </c>
      <c r="C8" s="20">
        <v>6.458333333333333</v>
      </c>
    </row>
    <row r="9" spans="1:3" x14ac:dyDescent="0.35">
      <c r="A9" s="3" t="s">
        <v>31</v>
      </c>
      <c r="B9" s="20">
        <v>1000</v>
      </c>
      <c r="C9" s="20">
        <v>6.7994999999999983</v>
      </c>
    </row>
    <row r="13" spans="1:3" x14ac:dyDescent="0.35">
      <c r="A13" s="4" t="s">
        <v>45</v>
      </c>
      <c r="B13" s="4"/>
      <c r="C1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178D3-A60C-476B-816D-53246519F7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student_performance_dataset</vt:lpstr>
      <vt:lpstr>previos and last grades</vt:lpstr>
      <vt:lpstr>internet and grades</vt:lpstr>
      <vt:lpstr>sleep annd work</vt:lpstr>
      <vt:lpstr>gender analysis</vt:lpstr>
      <vt:lpstr>sleep and 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abboud</dc:creator>
  <cp:lastModifiedBy>rana abboud</cp:lastModifiedBy>
  <dcterms:created xsi:type="dcterms:W3CDTF">2026-08-07T02:53:49Z</dcterms:created>
  <dcterms:modified xsi:type="dcterms:W3CDTF">2026-08-07T03:16:48Z</dcterms:modified>
</cp:coreProperties>
</file>